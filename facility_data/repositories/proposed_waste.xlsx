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rjf\Desktop\Research\Fuel Cycle Analysis\Facility Data\"/>
    </mc:Choice>
  </mc:AlternateContent>
  <xr:revisionPtr revIDLastSave="0" documentId="13_ncr:1_{9166EBF4-3B59-4A96-9570-02DDFA932961}" xr6:coauthVersionLast="47" xr6:coauthVersionMax="47" xr10:uidLastSave="{00000000-0000-0000-0000-000000000000}"/>
  <bookViews>
    <workbookView xWindow="33480" yWindow="-120" windowWidth="29040" windowHeight="15720" activeTab="1" xr2:uid="{00000000-000D-0000-FFFF-FFFF00000000}"/>
  </bookViews>
  <sheets>
    <sheet name="Interim" sheetId="3" r:id="rId1"/>
    <sheet name="Repositor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/>
  <c r="A3" i="3" s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H2" i="2"/>
  <c r="H3" i="2"/>
  <c r="H4" i="2"/>
  <c r="H5" i="2"/>
  <c r="H6" i="2"/>
  <c r="H7" i="2"/>
  <c r="H8" i="2"/>
  <c r="H9" i="2"/>
  <c r="H10" i="2"/>
  <c r="H11" i="2"/>
  <c r="H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15404</author>
  </authors>
  <commentList>
    <comment ref="F1" authorId="0" shapeId="0" xr:uid="{E19EDF96-CD8F-41E6-99B5-3A7E91377C78}">
      <text>
        <r>
          <rPr>
            <b/>
            <sz val="9"/>
            <color indexed="81"/>
            <rFont val="Tahoma"/>
            <charset val="1"/>
          </rPr>
          <t>15404:</t>
        </r>
        <r>
          <rPr>
            <sz val="9"/>
            <color indexed="81"/>
            <rFont val="Tahoma"/>
            <charset val="1"/>
          </rPr>
          <t xml:space="preserve">
From Gazetteer Files (2014 is earliest with Tribes)</t>
        </r>
      </text>
    </comment>
    <comment ref="E2" authorId="0" shapeId="0" xr:uid="{2F63250E-CDB0-43AD-8282-A6048769361F}">
      <text>
        <r>
          <rPr>
            <b/>
            <sz val="9"/>
            <color indexed="81"/>
            <rFont val="Tahoma"/>
            <charset val="1"/>
          </rPr>
          <t>15404: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S2" authorId="0" shapeId="0" xr:uid="{7E0FF933-F8F2-42F8-8272-65AC285A0873}">
      <text>
        <r>
          <rPr>
            <b/>
            <sz val="9"/>
            <color indexed="81"/>
            <rFont val="Tahoma"/>
            <charset val="1"/>
          </rPr>
          <t>15404:</t>
        </r>
        <r>
          <rPr>
            <sz val="9"/>
            <color indexed="81"/>
            <rFont val="Tahoma"/>
            <charset val="1"/>
          </rPr>
          <t xml:space="preserve">
1992 Report</t>
        </r>
      </text>
    </comment>
    <comment ref="S4" authorId="0" shapeId="0" xr:uid="{3B99BCEB-495C-4165-A2EB-2D04B238EA8F}">
      <text>
        <r>
          <rPr>
            <b/>
            <sz val="9"/>
            <color indexed="81"/>
            <rFont val="Tahoma"/>
            <charset val="1"/>
          </rPr>
          <t>15404:</t>
        </r>
        <r>
          <rPr>
            <sz val="9"/>
            <color indexed="81"/>
            <rFont val="Tahoma"/>
            <charset val="1"/>
          </rPr>
          <t xml:space="preserve">
Bowen reports</t>
        </r>
      </text>
    </comment>
    <comment ref="S6" authorId="0" shapeId="0" xr:uid="{A52570B4-95FB-4FBF-8220-810EF6C9593D}">
      <text>
        <r>
          <rPr>
            <b/>
            <sz val="9"/>
            <color indexed="81"/>
            <rFont val="Tahoma"/>
            <charset val="1"/>
          </rPr>
          <t>15404:</t>
        </r>
        <r>
          <rPr>
            <sz val="9"/>
            <color indexed="81"/>
            <rFont val="Tahoma"/>
            <charset val="1"/>
          </rPr>
          <t xml:space="preserve">
Source in zotero</t>
        </r>
      </text>
    </comment>
    <comment ref="S7" authorId="0" shapeId="0" xr:uid="{0B6AC0C3-00CB-4A13-BEF8-4B3AC6506484}">
      <text>
        <r>
          <rPr>
            <b/>
            <sz val="9"/>
            <color indexed="81"/>
            <rFont val="Tahoma"/>
            <charset val="1"/>
          </rPr>
          <t>15404:</t>
        </r>
        <r>
          <rPr>
            <sz val="9"/>
            <color indexed="81"/>
            <rFont val="Tahoma"/>
            <charset val="1"/>
          </rPr>
          <t xml:space="preserve">
3 sites were required per nwpa</t>
        </r>
      </text>
    </comment>
    <comment ref="C9" authorId="0" shapeId="0" xr:uid="{DE4AB23B-5C2B-4436-A8DE-D1BB26153E8D}">
      <text>
        <r>
          <rPr>
            <b/>
            <sz val="9"/>
            <color indexed="81"/>
            <rFont val="Tahoma"/>
            <charset val="1"/>
          </rPr>
          <t>15404:</t>
        </r>
        <r>
          <rPr>
            <sz val="9"/>
            <color indexed="81"/>
            <rFont val="Tahoma"/>
            <charset val="1"/>
          </rPr>
          <t xml:space="preserve">
Assume same location from PFS EIS</t>
        </r>
      </text>
    </comment>
    <comment ref="E15" authorId="0" shapeId="0" xr:uid="{1FFCFFCD-B999-4CF5-97D6-F13318192DC7}">
      <text>
        <r>
          <rPr>
            <b/>
            <sz val="9"/>
            <color indexed="81"/>
            <rFont val="Tahoma"/>
            <charset val="1"/>
          </rPr>
          <t>15404:</t>
        </r>
        <r>
          <rPr>
            <sz val="9"/>
            <color indexed="81"/>
            <rFont val="Tahoma"/>
            <charset val="1"/>
          </rPr>
          <t xml:space="preserve">
NWPA sec 148 d3, for DOE MRS. To be raised to 15,000 once a repository is operational
</t>
        </r>
      </text>
    </comment>
    <comment ref="C17" authorId="0" shapeId="0" xr:uid="{1ADE6D4A-85D4-4341-B87A-711F0DF3D276}">
      <text>
        <r>
          <rPr>
            <b/>
            <sz val="9"/>
            <color indexed="81"/>
            <rFont val="Tahoma"/>
            <charset val="1"/>
          </rPr>
          <t>15404:</t>
        </r>
        <r>
          <rPr>
            <sz val="9"/>
            <color indexed="81"/>
            <rFont val="Tahoma"/>
            <charset val="1"/>
          </rPr>
          <t xml:space="preserve">
Ultimate target, cancelled in ???</t>
        </r>
      </text>
    </comment>
    <comment ref="C24" authorId="0" shapeId="0" xr:uid="{396E6EFD-3620-4F10-A0A5-9E444B533D9D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Reprocessing site already noted</t>
        </r>
      </text>
    </comment>
    <comment ref="E27" authorId="0" shapeId="0" xr:uid="{9FA31E57-05DC-42A4-92EB-1E050A537087}">
      <text>
        <r>
          <rPr>
            <b/>
            <sz val="9"/>
            <color indexed="81"/>
            <rFont val="Tahoma"/>
            <charset val="1"/>
          </rPr>
          <t>15404:</t>
        </r>
        <r>
          <rPr>
            <sz val="9"/>
            <color indexed="81"/>
            <rFont val="Tahoma"/>
            <charset val="1"/>
          </rPr>
          <t xml:space="preserve">
for ISP and holtec, they are planning on starting with an initial capacity (5000, 8600 MTU respectively) and requesting regular expansions to these amount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15404</author>
  </authors>
  <commentList>
    <comment ref="E2" authorId="0" shapeId="0" xr:uid="{F9B142FC-5247-4D8A-BC0B-DF80170EA6C8}">
      <text>
        <r>
          <rPr>
            <b/>
            <sz val="9"/>
            <color indexed="81"/>
            <rFont val="Tahoma"/>
            <charset val="1"/>
          </rPr>
          <t>15404:</t>
        </r>
        <r>
          <rPr>
            <sz val="9"/>
            <color indexed="81"/>
            <rFont val="Tahoma"/>
            <charset val="1"/>
          </rPr>
          <t xml:space="preserve">
per NWPA, sec 114d</t>
        </r>
      </text>
    </comment>
    <comment ref="N2" authorId="0" shapeId="0" xr:uid="{2402AF07-50DE-4E7F-BBFE-59B1CDCF8EFD}">
      <text>
        <r>
          <rPr>
            <b/>
            <sz val="9"/>
            <color indexed="81"/>
            <rFont val="Tahoma"/>
            <charset val="1"/>
          </rPr>
          <t>15404:</t>
        </r>
        <r>
          <rPr>
            <sz val="9"/>
            <color indexed="81"/>
            <rFont val="Tahoma"/>
            <charset val="1"/>
          </rPr>
          <t xml:space="preserve">
DOE identifies immediately after NWPA passed</t>
        </r>
      </text>
    </comment>
    <comment ref="C3" authorId="0" shapeId="0" xr:uid="{944E1CC3-E957-4790-ABC6-7C9763C8D01F}">
      <text>
        <r>
          <rPr>
            <b/>
            <sz val="9"/>
            <color indexed="81"/>
            <rFont val="Tahoma"/>
            <charset val="1"/>
          </rPr>
          <t>15404:</t>
        </r>
        <r>
          <rPr>
            <sz val="9"/>
            <color indexed="81"/>
            <rFont val="Tahoma"/>
            <charset val="1"/>
          </rPr>
          <t xml:space="preserve">
4 miles west of 385, on 2587</t>
        </r>
      </text>
    </comment>
    <comment ref="C4" authorId="0" shapeId="0" xr:uid="{6B34833B-98E3-4A94-A539-60CE000FBE51}">
      <text>
        <r>
          <rPr>
            <b/>
            <sz val="9"/>
            <color indexed="81"/>
            <rFont val="Tahoma"/>
            <charset val="1"/>
          </rPr>
          <t>15404:</t>
        </r>
        <r>
          <rPr>
            <sz val="9"/>
            <color indexed="81"/>
            <rFont val="Tahoma"/>
            <charset val="1"/>
          </rPr>
          <t xml:space="preserve">
"Hanford Site"</t>
        </r>
      </text>
    </comment>
    <comment ref="C8" authorId="0" shapeId="0" xr:uid="{ACF4D0CF-6047-4EF0-9735-BBCBA6592AD4}">
      <text>
        <r>
          <rPr>
            <b/>
            <sz val="9"/>
            <color indexed="81"/>
            <rFont val="Tahoma"/>
            <charset val="1"/>
          </rPr>
          <t>15404:</t>
        </r>
        <r>
          <rPr>
            <sz val="9"/>
            <color indexed="81"/>
            <rFont val="Tahoma"/>
            <charset val="1"/>
          </rPr>
          <t xml:space="preserve">
Same source as Davis</t>
        </r>
      </text>
    </comment>
    <comment ref="D8" authorId="0" shapeId="0" xr:uid="{4782217A-1952-4F0B-B652-6D6CBFCD43F9}">
      <text>
        <r>
          <rPr>
            <b/>
            <sz val="9"/>
            <color indexed="81"/>
            <rFont val="Tahoma"/>
            <charset val="1"/>
          </rPr>
          <t>15404:</t>
        </r>
        <r>
          <rPr>
            <sz val="9"/>
            <color indexed="81"/>
            <rFont val="Tahoma"/>
            <charset val="1"/>
          </rPr>
          <t xml:space="preserve">
Don't double count with Davis</t>
        </r>
      </text>
    </comment>
    <comment ref="C9" authorId="0" shapeId="0" xr:uid="{2AB33428-26BC-4C89-8AB4-1249FCB7F13D}">
      <text>
        <r>
          <rPr>
            <b/>
            <sz val="9"/>
            <color indexed="81"/>
            <rFont val="Tahoma"/>
            <charset val="1"/>
          </rPr>
          <t>15404:</t>
        </r>
        <r>
          <rPr>
            <sz val="9"/>
            <color indexed="81"/>
            <rFont val="Tahoma"/>
            <charset val="1"/>
          </rPr>
          <t xml:space="preserve">
Same source as Richton</t>
        </r>
      </text>
    </comment>
    <comment ref="D9" authorId="0" shapeId="0" xr:uid="{F3B10190-C6AA-402C-8BCA-3F7E85A63346}">
      <text>
        <r>
          <rPr>
            <b/>
            <sz val="9"/>
            <color indexed="81"/>
            <rFont val="Tahoma"/>
            <charset val="1"/>
          </rPr>
          <t>15404:</t>
        </r>
        <r>
          <rPr>
            <sz val="9"/>
            <color indexed="81"/>
            <rFont val="Tahoma"/>
            <charset val="1"/>
          </rPr>
          <t xml:space="preserve">
Don't double count Richton</t>
        </r>
      </text>
    </comment>
  </commentList>
</comments>
</file>

<file path=xl/sharedStrings.xml><?xml version="1.0" encoding="utf-8"?>
<sst xmlns="http://schemas.openxmlformats.org/spreadsheetml/2006/main" count="152" uniqueCount="88">
  <si>
    <t>KS</t>
  </si>
  <si>
    <t>Lyons</t>
  </si>
  <si>
    <t>Permanent</t>
  </si>
  <si>
    <t>NM</t>
  </si>
  <si>
    <t>WIPP</t>
  </si>
  <si>
    <t>TX</t>
  </si>
  <si>
    <t>Swisher</t>
  </si>
  <si>
    <t>There were also some regions considered by the DOI but no sites were identified</t>
  </si>
  <si>
    <t>MS</t>
  </si>
  <si>
    <t>Cypress Creek</t>
  </si>
  <si>
    <t>UT</t>
  </si>
  <si>
    <t>Lavender</t>
  </si>
  <si>
    <t>LA</t>
  </si>
  <si>
    <t>Vacherie</t>
  </si>
  <si>
    <t>Davis Canyon</t>
  </si>
  <si>
    <t>Yucca Mtn</t>
  </si>
  <si>
    <t>Richton Dome</t>
  </si>
  <si>
    <t>2nd downselect - Dec 1984</t>
  </si>
  <si>
    <t>WA</t>
  </si>
  <si>
    <t>Hanford</t>
  </si>
  <si>
    <t>1st downselect - unknown</t>
  </si>
  <si>
    <t>Deaf Smith</t>
  </si>
  <si>
    <t>First round of identification - Feb 1983</t>
  </si>
  <si>
    <t>source</t>
  </si>
  <si>
    <t>NV</t>
  </si>
  <si>
    <t>Yucca Mountain</t>
  </si>
  <si>
    <t>Note</t>
  </si>
  <si>
    <t>Long</t>
  </si>
  <si>
    <t>Lat</t>
  </si>
  <si>
    <t>State</t>
  </si>
  <si>
    <t>Name</t>
  </si>
  <si>
    <t>Type</t>
  </si>
  <si>
    <t>FID</t>
  </si>
  <si>
    <t>Holtec Lea</t>
  </si>
  <si>
    <t>Private CISF</t>
  </si>
  <si>
    <t>ISP Andrews</t>
  </si>
  <si>
    <t>PFS Skull Valley</t>
  </si>
  <si>
    <t>NC</t>
  </si>
  <si>
    <t>Perkins</t>
  </si>
  <si>
    <t>MRS - DOE</t>
  </si>
  <si>
    <t>SC</t>
  </si>
  <si>
    <t>Barnwell</t>
  </si>
  <si>
    <t>Savannah River</t>
  </si>
  <si>
    <t>Cherokee</t>
  </si>
  <si>
    <t>AL</t>
  </si>
  <si>
    <t>Barton</t>
  </si>
  <si>
    <t>TN</t>
  </si>
  <si>
    <t>Hartsville</t>
  </si>
  <si>
    <t>Yellow Creek</t>
  </si>
  <si>
    <t>KY</t>
  </si>
  <si>
    <t>Paducah</t>
  </si>
  <si>
    <t>Clinch River</t>
  </si>
  <si>
    <t>Phipps Bend</t>
  </si>
  <si>
    <t>Oak Ridge</t>
  </si>
  <si>
    <t>OK</t>
  </si>
  <si>
    <t>Tonkawa</t>
  </si>
  <si>
    <t>MRS - ONWN</t>
  </si>
  <si>
    <t>Fort McDermitt</t>
  </si>
  <si>
    <t>Ponca</t>
  </si>
  <si>
    <t>GEOIDs (FIPS + AIANNHCE)</t>
  </si>
  <si>
    <t>San Juan County</t>
  </si>
  <si>
    <t>Eastern Shawnee</t>
  </si>
  <si>
    <t>Skull Valley</t>
  </si>
  <si>
    <t>6 - Final selection</t>
  </si>
  <si>
    <t>Yakama</t>
  </si>
  <si>
    <t>5 - First cut</t>
  </si>
  <si>
    <t>Sac and Fox</t>
  </si>
  <si>
    <t>4 - April 1985 DOE Report</t>
  </si>
  <si>
    <t>MN</t>
  </si>
  <si>
    <t>Prairie Island Ind Comm</t>
  </si>
  <si>
    <t>WY</t>
  </si>
  <si>
    <t>Fremont County</t>
  </si>
  <si>
    <t>ONWN sites don't have locations - use geographic centers of tribes/counties that submitted?</t>
  </si>
  <si>
    <t>3 - NWN Phase IIb</t>
  </si>
  <si>
    <t>Private</t>
  </si>
  <si>
    <t>Chickasaw</t>
  </si>
  <si>
    <t>Weight sites based on how far they got through the process?</t>
  </si>
  <si>
    <t>2 - NWN Phase IIa</t>
  </si>
  <si>
    <t>DOE 1985 Report</t>
  </si>
  <si>
    <t>ND</t>
  </si>
  <si>
    <t>Grant County</t>
  </si>
  <si>
    <t>Include everyone who was considered?</t>
  </si>
  <si>
    <t>1 - NWN Phase I</t>
  </si>
  <si>
    <t>ONWN 1992 Report</t>
  </si>
  <si>
    <t>Mescalero Apache</t>
  </si>
  <si>
    <t>FIPS/AIANNHCE</t>
  </si>
  <si>
    <t>Approx Year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</si>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</sst>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1" fillId="0" borderId="0" xfId="1"/>
    <xf numFmtId="14" fontId="1" fillId="0" borderId="0" xfId="1" applyNumberFormat="1"/>
    <xf numFmtId="0" fontId="0" fillId="2" borderId="0" xfId="0" applyFill="1"/>
    <xf numFmtId="0" fontId="0" fillId="0" borderId="0" xfId="0" applyAlignment="1">
      <alignment horizontal="left"/>
    </xf>
    <xf numFmtId="0" fontId="1" fillId="2" borderId="0" xfId="1" applyFill="1"/>
    <xf numFmtId="0" fontId="1" fillId="0" borderId="0" xfId="1" applyFill="1"/>
    <xf numFmtId="0" fontId="0" fillId="4" borderId="0" xfId="0" applyFill="1"/>
    <xf numFmtId="0" fontId="0" fillId="5" borderId="0" xfId="0" applyFill="1"/>
    <xf numFmtId="0" fontId="0" fillId="0" borderId="1" xfId="0" applyBorder="1"/>
    <xf numFmtId="0" fontId="0" fillId="6" borderId="0" xfId="0" applyFill="1"/>
    <xf numFmtId="16" fontId="1" fillId="0" borderId="0" xfId="1" applyNumberFormat="1"/>
    <xf numFmtId="3" fontId="0" fillId="0" borderId="0" xfId="0" applyNumberFormat="1"/>
    <xf numFmtId="0" fontId="0" fillId="0" borderId="0" xfId="0" applyAlignment="1">
      <alignment horizontal="left"/>
    </xf>
    <xf numFmtId="0" fontId="1" fillId="3" borderId="0" xfId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rc.gov/docs/ML2035/ML20353A427.pdf" TargetMode="External"/><Relationship Id="rId13" Type="http://schemas.openxmlformats.org/officeDocument/2006/relationships/hyperlink" Target="https://www.nrc.gov/waste/spent-fuel-storage/cis/waste-control-specialist.html" TargetMode="External"/><Relationship Id="rId3" Type="http://schemas.openxmlformats.org/officeDocument/2006/relationships/hyperlink" Target="https://www.osti.gov/servlets/purl/6775409" TargetMode="External"/><Relationship Id="rId7" Type="http://schemas.openxmlformats.org/officeDocument/2006/relationships/hyperlink" Target="https://www.osti.gov/servlets/purl/6775409" TargetMode="External"/><Relationship Id="rId12" Type="http://schemas.openxmlformats.org/officeDocument/2006/relationships/hyperlink" Target="https://www.nrc.gov/docs/ML2218/ML22181B094.pdf" TargetMode="External"/><Relationship Id="rId2" Type="http://schemas.openxmlformats.org/officeDocument/2006/relationships/hyperlink" Target="https://www.nrc.gov/docs/ML0408/ML040830559.pdf" TargetMode="External"/><Relationship Id="rId16" Type="http://schemas.openxmlformats.org/officeDocument/2006/relationships/comments" Target="../comments1.xml"/><Relationship Id="rId1" Type="http://schemas.openxmlformats.org/officeDocument/2006/relationships/hyperlink" Target="https://www.nrc.gov/docs/ML0406/ML040620524.pdf" TargetMode="External"/><Relationship Id="rId6" Type="http://schemas.openxmlformats.org/officeDocument/2006/relationships/hyperlink" Target="https://web.archive.org/web/20170211200544/http:/web.ornl.gov/info/reports/1977/3445605510532.pdf" TargetMode="External"/><Relationship Id="rId11" Type="http://schemas.openxmlformats.org/officeDocument/2006/relationships/hyperlink" Target="https://www.census.gov/library/reference/code-lists/ansi.2010.html" TargetMode="External"/><Relationship Id="rId5" Type="http://schemas.openxmlformats.org/officeDocument/2006/relationships/hyperlink" Target="https://web.archive.org/web/20170211200544/http:/web.ornl.gov/info/reports/1977/3445605510532.pdf" TargetMode="External"/><Relationship Id="rId15" Type="http://schemas.openxmlformats.org/officeDocument/2006/relationships/vmlDrawing" Target="../drawings/vmlDrawing1.vml"/><Relationship Id="rId10" Type="http://schemas.openxmlformats.org/officeDocument/2006/relationships/hyperlink" Target="https://www.nrc.gov/docs/ML0201/ML020150217.pdf" TargetMode="External"/><Relationship Id="rId4" Type="http://schemas.openxmlformats.org/officeDocument/2006/relationships/hyperlink" Target="https://web.archive.org/web/20170211200544/http:/web.ornl.gov/info/reports/1977/3445605510532.pdf" TargetMode="External"/><Relationship Id="rId9" Type="http://schemas.openxmlformats.org/officeDocument/2006/relationships/hyperlink" Target="https://www.nrc.gov/docs/ML2005/ML20052E152.pdf" TargetMode="External"/><Relationship Id="rId14" Type="http://schemas.openxmlformats.org/officeDocument/2006/relationships/hyperlink" Target="https://www.federalregister.gov/documents/2006/02/07/E6-1595/notice-of-request-for-comments-to-address-right-of-way-applications-filed-by-private-fuel-storage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igital.library.unt.edu/ark:/67531/metadc1027460/m2/1/high_res_d/4686485.pdf" TargetMode="External"/><Relationship Id="rId3" Type="http://schemas.openxmlformats.org/officeDocument/2006/relationships/hyperlink" Target="https://curie.pnnl.gov/system/files/Deaf_Smith_County_EA__Overview.pdf" TargetMode="External"/><Relationship Id="rId7" Type="http://schemas.openxmlformats.org/officeDocument/2006/relationships/hyperlink" Target="https://ntrl.ntis.gov/NTRL/dashboard/searchResults/titleDetail/DE85005770.xhtml" TargetMode="External"/><Relationship Id="rId12" Type="http://schemas.openxmlformats.org/officeDocument/2006/relationships/comments" Target="../comments2.xml"/><Relationship Id="rId2" Type="http://schemas.openxmlformats.org/officeDocument/2006/relationships/hyperlink" Target="https://pubs.usgs.gov/of/1986/0379/report.pdf" TargetMode="External"/><Relationship Id="rId1" Type="http://schemas.openxmlformats.org/officeDocument/2006/relationships/hyperlink" Target="https://www.nrc.gov/docs/ML0333/ML033350488.pdf" TargetMode="External"/><Relationship Id="rId6" Type="http://schemas.openxmlformats.org/officeDocument/2006/relationships/hyperlink" Target="https://babel.hathitrust.org/cgi/pt?id=uiug.30112110801880&amp;seq=75" TargetMode="External"/><Relationship Id="rId11" Type="http://schemas.openxmlformats.org/officeDocument/2006/relationships/vmlDrawing" Target="../drawings/vmlDrawing2.vml"/><Relationship Id="rId5" Type="http://schemas.openxmlformats.org/officeDocument/2006/relationships/hyperlink" Target="https://edx.netl.doe.gov/dataset/environmental-assessment-davis-canyon-site-utah-volume-i" TargetMode="External"/><Relationship Id="rId10" Type="http://schemas.openxmlformats.org/officeDocument/2006/relationships/hyperlink" Target="https://wipp.energy.gov/historytimeline.asp" TargetMode="External"/><Relationship Id="rId4" Type="http://schemas.openxmlformats.org/officeDocument/2006/relationships/hyperlink" Target="https://curie.pnnl.gov/system/files/Richton_Dome_EA_Vol_1_HQP.19870601.1592.pdf" TargetMode="External"/><Relationship Id="rId9" Type="http://schemas.openxmlformats.org/officeDocument/2006/relationships/hyperlink" Target="https://wipp.energy.gov/historytimeline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7937E-CD27-4E96-A067-FE8D71F0E5F8}">
  <dimension ref="A1:W28"/>
  <sheetViews>
    <sheetView workbookViewId="0">
      <selection activeCell="L20" sqref="L20"/>
    </sheetView>
  </sheetViews>
  <sheetFormatPr defaultRowHeight="14.5" x14ac:dyDescent="0.35"/>
  <cols>
    <col min="2" max="2" width="13.08984375" customWidth="1"/>
    <col min="3" max="3" width="21.08984375" customWidth="1"/>
    <col min="8" max="8" width="11.453125" customWidth="1"/>
    <col min="14" max="14" width="17.6328125" customWidth="1"/>
  </cols>
  <sheetData>
    <row r="1" spans="1:23" x14ac:dyDescent="0.35">
      <c r="A1" t="s">
        <v>32</v>
      </c>
      <c r="B1" t="s">
        <v>31</v>
      </c>
      <c r="C1" t="s">
        <v>30</v>
      </c>
      <c r="D1" t="s">
        <v>29</v>
      </c>
      <c r="E1" t="s">
        <v>87</v>
      </c>
      <c r="F1" t="s">
        <v>28</v>
      </c>
      <c r="G1" t="s">
        <v>27</v>
      </c>
      <c r="H1" t="s">
        <v>86</v>
      </c>
      <c r="I1" t="s">
        <v>85</v>
      </c>
      <c r="J1" t="s">
        <v>26</v>
      </c>
    </row>
    <row r="2" spans="1:23" x14ac:dyDescent="0.35">
      <c r="A2">
        <f>Repositories!A12+1</f>
        <v>512</v>
      </c>
      <c r="B2" s="11" t="s">
        <v>56</v>
      </c>
      <c r="C2" t="s">
        <v>84</v>
      </c>
      <c r="D2" t="s">
        <v>3</v>
      </c>
      <c r="E2" s="13">
        <v>10000</v>
      </c>
      <c r="F2">
        <v>33.176135000000002</v>
      </c>
      <c r="G2">
        <v>-105.583242</v>
      </c>
      <c r="H2" s="1">
        <v>33604</v>
      </c>
      <c r="I2">
        <v>2205</v>
      </c>
      <c r="J2">
        <v>3</v>
      </c>
      <c r="N2" s="11" t="s">
        <v>83</v>
      </c>
      <c r="S2" t="s">
        <v>82</v>
      </c>
      <c r="W2" t="s">
        <v>81</v>
      </c>
    </row>
    <row r="3" spans="1:23" x14ac:dyDescent="0.35">
      <c r="A3">
        <f>A2+1</f>
        <v>513</v>
      </c>
      <c r="B3" s="11" t="s">
        <v>56</v>
      </c>
      <c r="C3" t="s">
        <v>80</v>
      </c>
      <c r="D3" t="s">
        <v>79</v>
      </c>
      <c r="E3" s="13">
        <v>10000</v>
      </c>
      <c r="F3">
        <v>46.357827</v>
      </c>
      <c r="G3">
        <v>-101.639049</v>
      </c>
      <c r="H3" s="1">
        <v>33239</v>
      </c>
      <c r="I3">
        <v>38037</v>
      </c>
      <c r="J3">
        <v>1</v>
      </c>
      <c r="N3" s="9" t="s">
        <v>78</v>
      </c>
      <c r="S3" s="2" t="s">
        <v>77</v>
      </c>
      <c r="W3" t="s">
        <v>76</v>
      </c>
    </row>
    <row r="4" spans="1:23" x14ac:dyDescent="0.35">
      <c r="A4">
        <f t="shared" ref="A4:A28" si="0">A3+1</f>
        <v>514</v>
      </c>
      <c r="B4" s="11" t="s">
        <v>56</v>
      </c>
      <c r="C4" t="s">
        <v>75</v>
      </c>
      <c r="D4" t="s">
        <v>54</v>
      </c>
      <c r="E4" s="13">
        <v>10000</v>
      </c>
      <c r="F4">
        <v>34.470295999999998</v>
      </c>
      <c r="G4">
        <v>-97.234126000000003</v>
      </c>
      <c r="H4" s="1">
        <v>33239</v>
      </c>
      <c r="I4">
        <v>5580</v>
      </c>
      <c r="J4">
        <v>1</v>
      </c>
      <c r="N4" s="8" t="s">
        <v>74</v>
      </c>
      <c r="S4" t="s">
        <v>73</v>
      </c>
      <c r="W4" t="s">
        <v>72</v>
      </c>
    </row>
    <row r="5" spans="1:23" x14ac:dyDescent="0.35">
      <c r="A5">
        <f t="shared" si="0"/>
        <v>515</v>
      </c>
      <c r="B5" s="11" t="s">
        <v>56</v>
      </c>
      <c r="C5" t="s">
        <v>71</v>
      </c>
      <c r="D5" t="s">
        <v>70</v>
      </c>
      <c r="E5" s="13">
        <v>10000</v>
      </c>
      <c r="F5">
        <v>43.054831</v>
      </c>
      <c r="G5">
        <v>-108.608935</v>
      </c>
      <c r="H5" s="1">
        <v>33239</v>
      </c>
      <c r="I5">
        <v>56013</v>
      </c>
      <c r="J5">
        <v>1</v>
      </c>
    </row>
    <row r="6" spans="1:23" x14ac:dyDescent="0.35">
      <c r="A6">
        <f t="shared" si="0"/>
        <v>516</v>
      </c>
      <c r="B6" s="11" t="s">
        <v>56</v>
      </c>
      <c r="C6" t="s">
        <v>69</v>
      </c>
      <c r="D6" t="s">
        <v>68</v>
      </c>
      <c r="E6" s="13">
        <v>10000</v>
      </c>
      <c r="F6">
        <v>44.635306999999997</v>
      </c>
      <c r="G6">
        <v>-92.656503000000001</v>
      </c>
      <c r="H6" s="1">
        <v>33239</v>
      </c>
      <c r="I6">
        <v>2985</v>
      </c>
      <c r="J6">
        <v>1</v>
      </c>
      <c r="S6" t="s">
        <v>67</v>
      </c>
    </row>
    <row r="7" spans="1:23" x14ac:dyDescent="0.35">
      <c r="A7">
        <f t="shared" si="0"/>
        <v>517</v>
      </c>
      <c r="B7" s="11" t="s">
        <v>56</v>
      </c>
      <c r="C7" t="s">
        <v>66</v>
      </c>
      <c r="D7" t="s">
        <v>54</v>
      </c>
      <c r="E7" s="13">
        <v>10000</v>
      </c>
      <c r="F7">
        <v>40.009481999999998</v>
      </c>
      <c r="G7">
        <v>-95.513077999999993</v>
      </c>
      <c r="H7" s="1">
        <v>33239</v>
      </c>
      <c r="I7">
        <v>3285</v>
      </c>
      <c r="J7">
        <v>1</v>
      </c>
      <c r="S7" s="12" t="s">
        <v>65</v>
      </c>
    </row>
    <row r="8" spans="1:23" x14ac:dyDescent="0.35">
      <c r="A8">
        <f t="shared" si="0"/>
        <v>518</v>
      </c>
      <c r="B8" s="11" t="s">
        <v>56</v>
      </c>
      <c r="C8" t="s">
        <v>64</v>
      </c>
      <c r="D8" t="s">
        <v>18</v>
      </c>
      <c r="E8" s="13">
        <v>10000</v>
      </c>
      <c r="F8">
        <v>46.268306000000003</v>
      </c>
      <c r="G8">
        <v>-120.754434</v>
      </c>
      <c r="H8" s="1">
        <v>33239</v>
      </c>
      <c r="I8">
        <v>4690</v>
      </c>
      <c r="J8">
        <v>1</v>
      </c>
      <c r="S8" s="2" t="s">
        <v>63</v>
      </c>
    </row>
    <row r="9" spans="1:23" x14ac:dyDescent="0.35">
      <c r="A9">
        <f t="shared" si="0"/>
        <v>519</v>
      </c>
      <c r="B9" s="11" t="s">
        <v>56</v>
      </c>
      <c r="C9" t="s">
        <v>62</v>
      </c>
      <c r="D9" t="s">
        <v>10</v>
      </c>
      <c r="E9" s="13">
        <v>10000</v>
      </c>
      <c r="F9">
        <v>40.4121320031742</v>
      </c>
      <c r="G9">
        <v>-112.795114507571</v>
      </c>
      <c r="H9" s="1">
        <v>33604</v>
      </c>
      <c r="I9">
        <v>3840</v>
      </c>
      <c r="J9">
        <v>3</v>
      </c>
    </row>
    <row r="10" spans="1:23" x14ac:dyDescent="0.35">
      <c r="A10">
        <f t="shared" si="0"/>
        <v>520</v>
      </c>
      <c r="B10" s="11" t="s">
        <v>56</v>
      </c>
      <c r="C10" t="s">
        <v>61</v>
      </c>
      <c r="D10" t="s">
        <v>54</v>
      </c>
      <c r="E10" s="13">
        <v>10000</v>
      </c>
      <c r="F10">
        <v>36.849604999999997</v>
      </c>
      <c r="G10">
        <v>-94.689083999999994</v>
      </c>
      <c r="H10" s="1">
        <v>33239</v>
      </c>
      <c r="I10">
        <v>5640</v>
      </c>
      <c r="J10">
        <v>1</v>
      </c>
    </row>
    <row r="11" spans="1:23" x14ac:dyDescent="0.35">
      <c r="A11">
        <f t="shared" si="0"/>
        <v>521</v>
      </c>
      <c r="B11" s="11" t="s">
        <v>56</v>
      </c>
      <c r="C11" t="s">
        <v>60</v>
      </c>
      <c r="D11" t="s">
        <v>10</v>
      </c>
      <c r="E11" s="13">
        <v>10000</v>
      </c>
      <c r="F11">
        <v>37.602632999999997</v>
      </c>
      <c r="G11">
        <v>-109.791574</v>
      </c>
      <c r="H11" s="1">
        <v>33239</v>
      </c>
      <c r="I11">
        <v>49037</v>
      </c>
      <c r="J11">
        <v>1</v>
      </c>
      <c r="S11" s="2" t="s">
        <v>59</v>
      </c>
    </row>
    <row r="12" spans="1:23" x14ac:dyDescent="0.35">
      <c r="A12">
        <f t="shared" si="0"/>
        <v>522</v>
      </c>
      <c r="B12" s="11" t="s">
        <v>56</v>
      </c>
      <c r="C12" t="s">
        <v>58</v>
      </c>
      <c r="D12" t="s">
        <v>54</v>
      </c>
      <c r="E12" s="13">
        <v>10000</v>
      </c>
      <c r="F12">
        <v>36.588222999999999</v>
      </c>
      <c r="G12">
        <v>-97.097751000000002</v>
      </c>
      <c r="H12" s="1">
        <v>33239</v>
      </c>
      <c r="I12">
        <v>5800</v>
      </c>
      <c r="J12">
        <v>1</v>
      </c>
    </row>
    <row r="13" spans="1:23" x14ac:dyDescent="0.35">
      <c r="A13">
        <f t="shared" si="0"/>
        <v>523</v>
      </c>
      <c r="B13" s="11" t="s">
        <v>56</v>
      </c>
      <c r="C13" t="s">
        <v>57</v>
      </c>
      <c r="D13" t="s">
        <v>24</v>
      </c>
      <c r="E13" s="13">
        <v>10000</v>
      </c>
      <c r="F13">
        <v>41.955742000000001</v>
      </c>
      <c r="G13">
        <v>-117.658418</v>
      </c>
      <c r="H13" s="1">
        <v>33604</v>
      </c>
      <c r="I13">
        <v>1210</v>
      </c>
      <c r="J13">
        <v>2</v>
      </c>
    </row>
    <row r="14" spans="1:23" x14ac:dyDescent="0.35">
      <c r="A14">
        <f t="shared" si="0"/>
        <v>524</v>
      </c>
      <c r="B14" s="11" t="s">
        <v>56</v>
      </c>
      <c r="C14" t="s">
        <v>55</v>
      </c>
      <c r="D14" t="s">
        <v>54</v>
      </c>
      <c r="E14" s="13">
        <v>10000</v>
      </c>
      <c r="F14">
        <v>36.678640999999999</v>
      </c>
      <c r="G14">
        <v>-97.352219000000005</v>
      </c>
      <c r="H14" s="1">
        <v>33604</v>
      </c>
      <c r="I14">
        <v>5860</v>
      </c>
      <c r="J14">
        <v>2</v>
      </c>
    </row>
    <row r="15" spans="1:23" x14ac:dyDescent="0.35">
      <c r="A15">
        <f t="shared" si="0"/>
        <v>525</v>
      </c>
      <c r="B15" s="9" t="s">
        <v>39</v>
      </c>
      <c r="C15" t="s">
        <v>53</v>
      </c>
      <c r="D15" t="s">
        <v>46</v>
      </c>
      <c r="E15">
        <v>10000</v>
      </c>
      <c r="F15">
        <v>35.931518011259399</v>
      </c>
      <c r="G15">
        <v>-84.309784696981595</v>
      </c>
      <c r="H15" s="1">
        <v>31048</v>
      </c>
      <c r="J15">
        <v>5</v>
      </c>
    </row>
    <row r="16" spans="1:23" x14ac:dyDescent="0.35">
      <c r="A16">
        <f t="shared" si="0"/>
        <v>526</v>
      </c>
      <c r="B16" s="9" t="s">
        <v>39</v>
      </c>
      <c r="C16" t="s">
        <v>52</v>
      </c>
      <c r="D16" t="s">
        <v>46</v>
      </c>
      <c r="E16">
        <v>10000</v>
      </c>
      <c r="F16">
        <v>36.463538009243003</v>
      </c>
      <c r="G16">
        <v>-82.806149869474297</v>
      </c>
      <c r="H16" s="1">
        <v>31048</v>
      </c>
      <c r="J16">
        <v>4</v>
      </c>
    </row>
    <row r="17" spans="1:10" x14ac:dyDescent="0.35">
      <c r="A17">
        <f t="shared" si="0"/>
        <v>527</v>
      </c>
      <c r="B17" s="9" t="s">
        <v>39</v>
      </c>
      <c r="C17" s="2" t="s">
        <v>51</v>
      </c>
      <c r="D17" t="s">
        <v>46</v>
      </c>
      <c r="E17">
        <v>10000</v>
      </c>
      <c r="F17">
        <v>35.890196281103798</v>
      </c>
      <c r="G17">
        <v>-84.382483112473295</v>
      </c>
      <c r="H17" s="1">
        <v>31048</v>
      </c>
      <c r="J17">
        <v>6</v>
      </c>
    </row>
    <row r="18" spans="1:10" x14ac:dyDescent="0.35">
      <c r="A18">
        <f t="shared" si="0"/>
        <v>528</v>
      </c>
      <c r="B18" s="9" t="s">
        <v>39</v>
      </c>
      <c r="C18" t="s">
        <v>50</v>
      </c>
      <c r="D18" t="s">
        <v>49</v>
      </c>
      <c r="E18">
        <v>10000</v>
      </c>
      <c r="F18">
        <v>37.111892070000003</v>
      </c>
      <c r="G18">
        <v>-88.806251520000004</v>
      </c>
      <c r="H18" s="1">
        <v>31048</v>
      </c>
      <c r="J18">
        <v>4</v>
      </c>
    </row>
    <row r="19" spans="1:10" x14ac:dyDescent="0.35">
      <c r="A19">
        <f t="shared" si="0"/>
        <v>529</v>
      </c>
      <c r="B19" s="9" t="s">
        <v>39</v>
      </c>
      <c r="C19" t="s">
        <v>48</v>
      </c>
      <c r="D19" t="s">
        <v>8</v>
      </c>
      <c r="E19">
        <v>10000</v>
      </c>
      <c r="F19">
        <v>34.960975753757701</v>
      </c>
      <c r="G19">
        <v>-88.212708318759496</v>
      </c>
      <c r="H19" s="1">
        <v>31048</v>
      </c>
      <c r="J19">
        <v>4</v>
      </c>
    </row>
    <row r="20" spans="1:10" x14ac:dyDescent="0.35">
      <c r="A20">
        <f t="shared" si="0"/>
        <v>530</v>
      </c>
      <c r="B20" s="9" t="s">
        <v>39</v>
      </c>
      <c r="C20" t="s">
        <v>47</v>
      </c>
      <c r="D20" t="s">
        <v>46</v>
      </c>
      <c r="E20">
        <v>10000</v>
      </c>
      <c r="F20">
        <v>36.350170693444298</v>
      </c>
      <c r="G20">
        <v>-86.083333303725396</v>
      </c>
      <c r="H20" s="1">
        <v>31048</v>
      </c>
      <c r="J20">
        <v>5</v>
      </c>
    </row>
    <row r="21" spans="1:10" x14ac:dyDescent="0.35">
      <c r="A21">
        <f t="shared" si="0"/>
        <v>531</v>
      </c>
      <c r="B21" s="9" t="s">
        <v>39</v>
      </c>
      <c r="C21" s="2" t="s">
        <v>45</v>
      </c>
      <c r="D21" t="s">
        <v>44</v>
      </c>
      <c r="E21">
        <v>10000</v>
      </c>
      <c r="F21">
        <v>32.450017880916</v>
      </c>
      <c r="G21">
        <v>-86.239999115740005</v>
      </c>
      <c r="H21" s="1">
        <v>31048</v>
      </c>
      <c r="J21">
        <v>4</v>
      </c>
    </row>
    <row r="22" spans="1:10" x14ac:dyDescent="0.35">
      <c r="A22">
        <f t="shared" si="0"/>
        <v>532</v>
      </c>
      <c r="B22" s="9" t="s">
        <v>39</v>
      </c>
      <c r="C22" s="2" t="s">
        <v>43</v>
      </c>
      <c r="D22" t="s">
        <v>40</v>
      </c>
      <c r="E22">
        <v>10000</v>
      </c>
      <c r="F22">
        <v>35.036499999999997</v>
      </c>
      <c r="G22">
        <v>-81.511200000000002</v>
      </c>
      <c r="H22" s="1">
        <v>31048</v>
      </c>
      <c r="J22">
        <v>4</v>
      </c>
    </row>
    <row r="23" spans="1:10" x14ac:dyDescent="0.35">
      <c r="A23">
        <f t="shared" si="0"/>
        <v>533</v>
      </c>
      <c r="B23" s="9" t="s">
        <v>39</v>
      </c>
      <c r="C23" t="s">
        <v>42</v>
      </c>
      <c r="D23" t="s">
        <v>40</v>
      </c>
      <c r="E23">
        <v>10000</v>
      </c>
      <c r="F23">
        <v>33.246000000000002</v>
      </c>
      <c r="G23">
        <v>-81.668000000000006</v>
      </c>
      <c r="H23" s="1">
        <v>31048</v>
      </c>
      <c r="J23">
        <v>4</v>
      </c>
    </row>
    <row r="24" spans="1:10" x14ac:dyDescent="0.35">
      <c r="A24">
        <f t="shared" si="0"/>
        <v>534</v>
      </c>
      <c r="B24" s="9" t="s">
        <v>39</v>
      </c>
      <c r="C24" t="s">
        <v>41</v>
      </c>
      <c r="D24" t="s">
        <v>40</v>
      </c>
      <c r="E24">
        <v>10000</v>
      </c>
      <c r="F24" s="10">
        <v>33.245528481570297</v>
      </c>
      <c r="G24" s="10">
        <v>-81.468987972091597</v>
      </c>
      <c r="H24" s="1">
        <v>31048</v>
      </c>
      <c r="J24">
        <v>4</v>
      </c>
    </row>
    <row r="25" spans="1:10" x14ac:dyDescent="0.35">
      <c r="A25">
        <f t="shared" si="0"/>
        <v>535</v>
      </c>
      <c r="B25" s="9" t="s">
        <v>39</v>
      </c>
      <c r="C25" s="2" t="s">
        <v>38</v>
      </c>
      <c r="D25" t="s">
        <v>37</v>
      </c>
      <c r="E25">
        <v>10000</v>
      </c>
      <c r="F25">
        <v>35.850014140671497</v>
      </c>
      <c r="G25">
        <v>-80.449997973711803</v>
      </c>
      <c r="H25" s="1">
        <v>31048</v>
      </c>
      <c r="J25">
        <v>4</v>
      </c>
    </row>
    <row r="26" spans="1:10" x14ac:dyDescent="0.35">
      <c r="A26">
        <f t="shared" si="0"/>
        <v>536</v>
      </c>
      <c r="B26" s="8" t="s">
        <v>34</v>
      </c>
      <c r="C26" s="2" t="s">
        <v>36</v>
      </c>
      <c r="D26" t="s">
        <v>10</v>
      </c>
      <c r="E26" s="2">
        <v>40000</v>
      </c>
      <c r="F26">
        <v>40.4121320031742</v>
      </c>
      <c r="G26">
        <v>-112.795114507571</v>
      </c>
      <c r="H26" s="1">
        <v>37987</v>
      </c>
      <c r="J26">
        <v>0</v>
      </c>
    </row>
    <row r="27" spans="1:10" x14ac:dyDescent="0.35">
      <c r="A27">
        <f t="shared" si="0"/>
        <v>537</v>
      </c>
      <c r="B27" s="8" t="s">
        <v>34</v>
      </c>
      <c r="C27" s="7" t="s">
        <v>35</v>
      </c>
      <c r="D27" t="s">
        <v>5</v>
      </c>
      <c r="E27" s="2">
        <v>40000</v>
      </c>
      <c r="F27">
        <v>32.453120244754501</v>
      </c>
      <c r="G27">
        <v>-103.058683603227</v>
      </c>
      <c r="H27" s="1">
        <v>42370</v>
      </c>
      <c r="J27">
        <v>0</v>
      </c>
    </row>
    <row r="28" spans="1:10" x14ac:dyDescent="0.35">
      <c r="A28">
        <f t="shared" si="0"/>
        <v>538</v>
      </c>
      <c r="B28" s="8" t="s">
        <v>34</v>
      </c>
      <c r="C28" s="7" t="s">
        <v>33</v>
      </c>
      <c r="D28" t="s">
        <v>3</v>
      </c>
      <c r="E28" s="2">
        <v>173600</v>
      </c>
      <c r="F28">
        <v>32.569111333296597</v>
      </c>
      <c r="G28">
        <v>-103.70888639361</v>
      </c>
      <c r="H28" s="1">
        <v>42736</v>
      </c>
      <c r="J28">
        <v>0</v>
      </c>
    </row>
  </sheetData>
  <conditionalFormatting sqref="J2:J1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5:J2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S3" r:id="rId1" xr:uid="{370C3440-EE00-4FE3-91B8-E2498D4B5000}"/>
    <hyperlink ref="S7" r:id="rId2" xr:uid="{11559688-8FAA-425A-8F27-F9E81825A984}"/>
    <hyperlink ref="S8" r:id="rId3" xr:uid="{B2694669-99A6-4F98-9AB7-9ECBC6E22068}"/>
    <hyperlink ref="C21" r:id="rId4" xr:uid="{7659CDD2-0510-4445-B496-4A3F79F00B0A}"/>
    <hyperlink ref="C22" r:id="rId5" xr:uid="{B3DED2F7-6780-48FB-AA20-C1381A8064DA}"/>
    <hyperlink ref="C25" r:id="rId6" xr:uid="{F686C936-20DE-4934-82C3-69F5895191AC}"/>
    <hyperlink ref="C17" r:id="rId7" xr:uid="{43472406-9A5E-4CA0-B43B-027E5391209F}"/>
    <hyperlink ref="C28" r:id="rId8" xr:uid="{8CBBCB08-CC54-4FB9-A903-40CB27C87D60}"/>
    <hyperlink ref="C27" r:id="rId9" xr:uid="{BF024BA5-D44D-4CB1-BC55-B24A1CDFDB51}"/>
    <hyperlink ref="C26" r:id="rId10" xr:uid="{8600D378-B7D6-4896-8D71-22549DE63AB0}"/>
    <hyperlink ref="S11" r:id="rId11" location="aian" xr:uid="{73DD39DB-40EE-4382-9E49-5456030BCACA}"/>
    <hyperlink ref="E28" r:id="rId12" display="https://www.nrc.gov/docs/ML2218/ML22181B094.pdf" xr:uid="{EDB76241-D4F2-4489-BC50-22CB6DACF1CE}"/>
    <hyperlink ref="E27" r:id="rId13" display="https://www.nrc.gov/waste/spent-fuel-storage/cis/waste-control-specialist.html" xr:uid="{D5789292-C16B-46E1-A76D-26367DDDA893}"/>
    <hyperlink ref="E26" r:id="rId14" display="40000" xr:uid="{1E6012B0-FEB7-430F-A54F-54D2862254A0}"/>
  </hyperlinks>
  <pageMargins left="0.7" right="0.7" top="0.75" bottom="0.75" header="0.3" footer="0.3"/>
  <legacy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5AA7B-9E4E-4692-B97B-A38F0C9EF037}">
  <dimension ref="A1:X12"/>
  <sheetViews>
    <sheetView tabSelected="1" workbookViewId="0">
      <selection activeCell="H19" sqref="H19"/>
    </sheetView>
  </sheetViews>
  <sheetFormatPr defaultRowHeight="14.5" x14ac:dyDescent="0.35"/>
  <cols>
    <col min="2" max="2" width="16" customWidth="1"/>
    <col min="3" max="3" width="30.26953125" customWidth="1"/>
    <col min="8" max="8" width="11.1796875" customWidth="1"/>
  </cols>
  <sheetData>
    <row r="1" spans="1:24" x14ac:dyDescent="0.35">
      <c r="A1" t="s">
        <v>32</v>
      </c>
      <c r="B1" t="s">
        <v>31</v>
      </c>
      <c r="C1" t="s">
        <v>30</v>
      </c>
      <c r="D1" t="s">
        <v>29</v>
      </c>
      <c r="E1" t="s">
        <v>87</v>
      </c>
      <c r="F1" t="s">
        <v>28</v>
      </c>
      <c r="G1" t="s">
        <v>27</v>
      </c>
      <c r="H1" t="s">
        <v>86</v>
      </c>
      <c r="I1" t="s">
        <v>26</v>
      </c>
    </row>
    <row r="2" spans="1:24" x14ac:dyDescent="0.35">
      <c r="A2">
        <v>501</v>
      </c>
      <c r="B2" s="4" t="s">
        <v>2</v>
      </c>
      <c r="C2" t="s">
        <v>25</v>
      </c>
      <c r="D2" t="s">
        <v>24</v>
      </c>
      <c r="E2">
        <v>70000</v>
      </c>
      <c r="F2">
        <v>36.828631043568301</v>
      </c>
      <c r="G2">
        <v>-116.43634520468299</v>
      </c>
      <c r="H2" s="1">
        <f t="shared" ref="H2:H12" si="0">DATE(K2,1,1)</f>
        <v>30317</v>
      </c>
      <c r="I2">
        <v>4</v>
      </c>
      <c r="K2">
        <v>1983</v>
      </c>
      <c r="N2" s="6" t="s">
        <v>23</v>
      </c>
      <c r="O2">
        <v>1</v>
      </c>
      <c r="P2" s="5" t="s">
        <v>22</v>
      </c>
      <c r="Q2" s="5"/>
      <c r="R2" s="5"/>
      <c r="S2" s="5"/>
      <c r="T2" s="5"/>
      <c r="U2" s="5"/>
      <c r="V2" s="5"/>
      <c r="W2" s="5"/>
    </row>
    <row r="3" spans="1:24" x14ac:dyDescent="0.35">
      <c r="A3">
        <v>502</v>
      </c>
      <c r="B3" s="4" t="s">
        <v>2</v>
      </c>
      <c r="C3" s="2" t="s">
        <v>21</v>
      </c>
      <c r="D3" t="s">
        <v>5</v>
      </c>
      <c r="E3">
        <v>70000</v>
      </c>
      <c r="F3">
        <v>35.101106329030799</v>
      </c>
      <c r="G3">
        <v>-102.472292650122</v>
      </c>
      <c r="H3" s="1">
        <f t="shared" si="0"/>
        <v>30317</v>
      </c>
      <c r="I3">
        <v>3</v>
      </c>
      <c r="K3">
        <v>1983</v>
      </c>
      <c r="O3">
        <v>2</v>
      </c>
      <c r="P3" s="5" t="s">
        <v>20</v>
      </c>
      <c r="Q3" s="5"/>
      <c r="R3" s="5"/>
      <c r="S3" s="5"/>
      <c r="T3" s="5"/>
      <c r="U3" s="5"/>
      <c r="V3" s="5"/>
      <c r="W3" s="5"/>
    </row>
    <row r="4" spans="1:24" x14ac:dyDescent="0.35">
      <c r="A4">
        <v>503</v>
      </c>
      <c r="B4" s="4" t="s">
        <v>2</v>
      </c>
      <c r="C4" t="s">
        <v>19</v>
      </c>
      <c r="D4" t="s">
        <v>18</v>
      </c>
      <c r="E4">
        <v>70000</v>
      </c>
      <c r="F4">
        <v>46.551378074904697</v>
      </c>
      <c r="G4">
        <v>-119.489534180742</v>
      </c>
      <c r="H4" s="1">
        <f t="shared" si="0"/>
        <v>30317</v>
      </c>
      <c r="I4">
        <v>3</v>
      </c>
      <c r="K4">
        <v>1983</v>
      </c>
      <c r="O4">
        <v>3</v>
      </c>
      <c r="P4" s="14" t="s">
        <v>17</v>
      </c>
      <c r="Q4" s="14"/>
      <c r="R4" s="14"/>
      <c r="S4" s="14"/>
      <c r="T4" s="14"/>
      <c r="U4" s="14"/>
      <c r="V4" s="14"/>
      <c r="W4" s="14"/>
    </row>
    <row r="5" spans="1:24" x14ac:dyDescent="0.35">
      <c r="A5">
        <v>504</v>
      </c>
      <c r="B5" s="4" t="s">
        <v>2</v>
      </c>
      <c r="C5" s="2" t="s">
        <v>16</v>
      </c>
      <c r="D5" t="s">
        <v>8</v>
      </c>
      <c r="E5">
        <v>70000</v>
      </c>
      <c r="F5">
        <v>31.386204040306001</v>
      </c>
      <c r="G5">
        <v>-88.981032967414606</v>
      </c>
      <c r="H5" s="1">
        <f t="shared" si="0"/>
        <v>30317</v>
      </c>
      <c r="I5">
        <v>2</v>
      </c>
      <c r="K5">
        <v>1983</v>
      </c>
      <c r="O5">
        <v>4</v>
      </c>
      <c r="P5" s="14" t="s">
        <v>15</v>
      </c>
      <c r="Q5" s="14"/>
      <c r="R5" s="14"/>
      <c r="S5" s="14"/>
      <c r="T5" s="14"/>
      <c r="U5" s="14"/>
      <c r="V5" s="14"/>
      <c r="W5" s="14"/>
    </row>
    <row r="6" spans="1:24" x14ac:dyDescent="0.35">
      <c r="A6">
        <v>505</v>
      </c>
      <c r="B6" s="4" t="s">
        <v>2</v>
      </c>
      <c r="C6" s="2" t="s">
        <v>14</v>
      </c>
      <c r="D6" t="s">
        <v>10</v>
      </c>
      <c r="E6">
        <v>70000</v>
      </c>
      <c r="F6">
        <v>38.137573078999402</v>
      </c>
      <c r="G6">
        <v>-109.732467381676</v>
      </c>
      <c r="H6" s="1">
        <f t="shared" si="0"/>
        <v>30317</v>
      </c>
      <c r="I6">
        <v>2</v>
      </c>
      <c r="K6">
        <v>1983</v>
      </c>
    </row>
    <row r="7" spans="1:24" x14ac:dyDescent="0.35">
      <c r="A7">
        <v>506</v>
      </c>
      <c r="B7" s="4" t="s">
        <v>2</v>
      </c>
      <c r="C7" s="2" t="s">
        <v>13</v>
      </c>
      <c r="D7" t="s">
        <v>12</v>
      </c>
      <c r="E7">
        <v>70000</v>
      </c>
      <c r="F7">
        <v>32.455803068481103</v>
      </c>
      <c r="G7">
        <v>-93.189392296977701</v>
      </c>
      <c r="H7" s="1">
        <f t="shared" si="0"/>
        <v>30317</v>
      </c>
      <c r="I7">
        <v>1</v>
      </c>
      <c r="K7">
        <v>1983</v>
      </c>
    </row>
    <row r="8" spans="1:24" x14ac:dyDescent="0.35">
      <c r="A8">
        <v>507</v>
      </c>
      <c r="B8" s="4" t="s">
        <v>2</v>
      </c>
      <c r="C8" t="s">
        <v>11</v>
      </c>
      <c r="D8" t="s">
        <v>10</v>
      </c>
      <c r="E8">
        <v>70000</v>
      </c>
      <c r="F8">
        <v>38.049396561795497</v>
      </c>
      <c r="G8">
        <v>-109.596363737274</v>
      </c>
      <c r="H8" s="1">
        <f t="shared" si="0"/>
        <v>30317</v>
      </c>
      <c r="I8">
        <v>1</v>
      </c>
      <c r="K8">
        <v>1983</v>
      </c>
    </row>
    <row r="9" spans="1:24" x14ac:dyDescent="0.35">
      <c r="A9">
        <v>508</v>
      </c>
      <c r="B9" s="4" t="s">
        <v>2</v>
      </c>
      <c r="C9" t="s">
        <v>9</v>
      </c>
      <c r="D9" t="s">
        <v>8</v>
      </c>
      <c r="E9">
        <v>70000</v>
      </c>
      <c r="F9">
        <v>31.1302640734724</v>
      </c>
      <c r="G9">
        <v>-89.0113103612358</v>
      </c>
      <c r="H9" s="1">
        <f t="shared" si="0"/>
        <v>30317</v>
      </c>
      <c r="I9">
        <v>1</v>
      </c>
      <c r="K9">
        <v>1983</v>
      </c>
      <c r="P9" s="15" t="s">
        <v>7</v>
      </c>
      <c r="Q9" s="15"/>
      <c r="R9" s="15"/>
      <c r="S9" s="15"/>
      <c r="T9" s="15"/>
      <c r="U9" s="15"/>
      <c r="V9" s="15"/>
      <c r="W9" s="15"/>
      <c r="X9" s="15"/>
    </row>
    <row r="10" spans="1:24" x14ac:dyDescent="0.35">
      <c r="A10">
        <v>509</v>
      </c>
      <c r="B10" s="4" t="s">
        <v>2</v>
      </c>
      <c r="C10" s="2" t="s">
        <v>6</v>
      </c>
      <c r="D10" t="s">
        <v>5</v>
      </c>
      <c r="E10">
        <v>70000</v>
      </c>
      <c r="F10">
        <v>34.6542455955897</v>
      </c>
      <c r="G10">
        <v>-101.64127388631</v>
      </c>
      <c r="H10" s="1">
        <f t="shared" si="0"/>
        <v>30317</v>
      </c>
      <c r="I10">
        <v>1</v>
      </c>
      <c r="K10">
        <v>1983</v>
      </c>
    </row>
    <row r="11" spans="1:24" x14ac:dyDescent="0.35">
      <c r="A11">
        <v>510</v>
      </c>
      <c r="B11" t="s">
        <v>2</v>
      </c>
      <c r="C11" t="s">
        <v>4</v>
      </c>
      <c r="D11" t="s">
        <v>3</v>
      </c>
      <c r="E11">
        <v>70000</v>
      </c>
      <c r="F11">
        <v>32.371517499356401</v>
      </c>
      <c r="G11">
        <v>-103.793492205082</v>
      </c>
      <c r="H11" s="3">
        <f t="shared" si="0"/>
        <v>29587</v>
      </c>
      <c r="I11">
        <v>0</v>
      </c>
      <c r="K11" s="2">
        <v>1981</v>
      </c>
    </row>
    <row r="12" spans="1:24" x14ac:dyDescent="0.35">
      <c r="A12">
        <v>511</v>
      </c>
      <c r="B12" t="s">
        <v>2</v>
      </c>
      <c r="C12" s="2" t="s">
        <v>1</v>
      </c>
      <c r="D12" t="s">
        <v>0</v>
      </c>
      <c r="E12">
        <v>70000</v>
      </c>
      <c r="F12">
        <v>38.374211871688502</v>
      </c>
      <c r="G12">
        <v>-98.228234193406806</v>
      </c>
      <c r="H12" s="1">
        <f t="shared" si="0"/>
        <v>25569</v>
      </c>
      <c r="I12">
        <v>0</v>
      </c>
      <c r="K12">
        <v>1970</v>
      </c>
    </row>
  </sheetData>
  <mergeCells count="3">
    <mergeCell ref="P4:W4"/>
    <mergeCell ref="P5:W5"/>
    <mergeCell ref="P9:X9"/>
  </mergeCells>
  <conditionalFormatting sqref="I2:I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N2" r:id="rId1" xr:uid="{D9DC9638-94DD-4F2E-9246-2A20E2545802}"/>
    <hyperlink ref="P9:X9" r:id="rId2" display="There were also some sites considered by the DOI but were never seriously discussed" xr:uid="{94E7933C-3274-4FFF-93D1-A70D3A835AB4}"/>
    <hyperlink ref="C3" r:id="rId3" xr:uid="{449D0A4D-4628-408A-8936-F50735CF4587}"/>
    <hyperlink ref="C5" r:id="rId4" xr:uid="{2CABFFFC-A748-4950-A0C2-40D99A0A3852}"/>
    <hyperlink ref="C6" r:id="rId5" xr:uid="{FD702136-2614-4157-A1FF-DC126E52DC56}"/>
    <hyperlink ref="C7" r:id="rId6" xr:uid="{344A1E90-4184-4224-82D9-CF59DDE5C484}"/>
    <hyperlink ref="C10" r:id="rId7" xr:uid="{5E205CC2-F7AA-414C-9EA7-561E37C120B7}"/>
    <hyperlink ref="C12" r:id="rId8" xr:uid="{44247E50-66AB-4EB8-8D41-5329C186491E}"/>
    <hyperlink ref="K11" r:id="rId9" location="1504107729262-a39a36f4-b3d0" display="1981" xr:uid="{30D8EF44-3F3B-45F9-8DF3-F2013175D675}"/>
    <hyperlink ref="H11" r:id="rId10" location="1504107729262-a39a36f4-b3d0" display="1981" xr:uid="{8E6550A9-E2EB-407F-8D63-86ACF34CEBDA}"/>
  </hyperlinks>
  <pageMargins left="0.7" right="0.7" top="0.75" bottom="0.75" header="0.3" footer="0.3"/>
  <legacy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Interim</vt:lpstr>
      <vt:lpstr>Repositories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 Fisher</dc:creator>
  <cp:lastModifiedBy>Fisher, Riley</cp:lastModifiedBy>
  <dcterms:created xsi:type="dcterms:W3CDTF">2015-06-05T18:17:20Z</dcterms:created>
  <dcterms:modified xsi:type="dcterms:W3CDTF">2025-08-04T22:45:08Z</dcterms:modified>
</cp:coreProperties>
</file>