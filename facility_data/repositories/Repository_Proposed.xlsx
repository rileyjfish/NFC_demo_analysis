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jf\Desktop\Research\Fuel Cycle Analysis\Facility Location Data\"/>
    </mc:Choice>
  </mc:AlternateContent>
  <xr:revisionPtr revIDLastSave="0" documentId="13_ncr:1_{2B5DF761-3B8A-402A-8159-8A39079BF251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2" i="1"/>
  <c r="G3" i="1"/>
  <c r="G4" i="1"/>
  <c r="G5" i="1"/>
  <c r="G6" i="1"/>
  <c r="G7" i="1"/>
  <c r="G8" i="1"/>
  <c r="G9" i="1"/>
  <c r="G10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15404</author>
  </authors>
  <commentList>
    <comment ref="M2" authorId="0" shapeId="0" xr:uid="{2402AF07-50DE-4E7F-BBFE-59B1CDCF8EFD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DOE identifies immediately after NWPA passed</t>
        </r>
      </text>
    </comment>
    <comment ref="C3" authorId="0" shapeId="0" xr:uid="{944E1CC3-E957-4790-ABC6-7C9763C8D01F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4 miles west of 385, on 2587</t>
        </r>
      </text>
    </comment>
    <comment ref="C4" authorId="0" shapeId="0" xr:uid="{6B34833B-98E3-4A94-A539-60CE000FBE51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"Hanford Site"</t>
        </r>
      </text>
    </comment>
    <comment ref="C8" authorId="0" shapeId="0" xr:uid="{ACF4D0CF-6047-4EF0-9735-BBCBA6592AD4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Same source as Davis</t>
        </r>
      </text>
    </comment>
    <comment ref="D8" authorId="0" shapeId="0" xr:uid="{4782217A-1952-4F0B-B652-6D6CBFCD43F9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Don't double count with Davis</t>
        </r>
      </text>
    </comment>
    <comment ref="C9" authorId="0" shapeId="0" xr:uid="{2AB33428-26BC-4C89-8AB4-1249FCB7F13D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Same source as Richton</t>
        </r>
      </text>
    </comment>
    <comment ref="D9" authorId="0" shapeId="0" xr:uid="{F3B10190-C6AA-402C-8BCA-3F7E85A63346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Don't double count Richton</t>
        </r>
      </text>
    </comment>
  </commentList>
</comments>
</file>

<file path=xl/sharedStrings.xml><?xml version="1.0" encoding="utf-8"?>
<sst xmlns="http://schemas.openxmlformats.org/spreadsheetml/2006/main" count="47" uniqueCount="34">
  <si>
    <t>Type</t>
  </si>
  <si>
    <t>Name</t>
  </si>
  <si>
    <t>State</t>
  </si>
  <si>
    <t>Lat</t>
  </si>
  <si>
    <t>Long</t>
  </si>
  <si>
    <t>Approx year</t>
  </si>
  <si>
    <t>Note</t>
  </si>
  <si>
    <t>Permanent</t>
  </si>
  <si>
    <t>Deaf Smith</t>
  </si>
  <si>
    <t>TX</t>
  </si>
  <si>
    <t>source</t>
  </si>
  <si>
    <t>First round of identification - Feb 1983</t>
  </si>
  <si>
    <t>Yucca Mountain</t>
  </si>
  <si>
    <t>NV</t>
  </si>
  <si>
    <t>1st downselect - unknown</t>
  </si>
  <si>
    <t>Hanford</t>
  </si>
  <si>
    <t>WA</t>
  </si>
  <si>
    <t>2nd downselect - Dec 1984</t>
  </si>
  <si>
    <t>Richton Dome</t>
  </si>
  <si>
    <t>MS</t>
  </si>
  <si>
    <t>Yucca Mtn</t>
  </si>
  <si>
    <t>Davis Canyon</t>
  </si>
  <si>
    <t>UT</t>
  </si>
  <si>
    <t>Vacherie</t>
  </si>
  <si>
    <t>LA</t>
  </si>
  <si>
    <t>Lavender</t>
  </si>
  <si>
    <t>Cypress Creek</t>
  </si>
  <si>
    <t>There were also some regions considered by the DOI but no sites were identified</t>
  </si>
  <si>
    <t>Swisher</t>
  </si>
  <si>
    <t>WIPP</t>
  </si>
  <si>
    <t>NM</t>
  </si>
  <si>
    <t>Lyons</t>
  </si>
  <si>
    <t>KS</t>
  </si>
  <si>
    <t>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</si>
</sst>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1" fillId="2" borderId="0" xfId="1" applyFill="1"/>
    <xf numFmtId="0" fontId="0" fillId="0" borderId="0" xfId="0" applyAlignment="1">
      <alignment horizontal="left"/>
    </xf>
    <xf numFmtId="0" fontId="1" fillId="0" borderId="0" xfId="1"/>
    <xf numFmtId="14" fontId="0" fillId="0" borderId="0" xfId="0" applyNumberFormat="1"/>
    <xf numFmtId="14" fontId="1" fillId="0" borderId="0" xfId="1" applyNumberFormat="1"/>
    <xf numFmtId="0" fontId="0" fillId="0" borderId="0" xfId="0" applyAlignment="1">
      <alignment horizontal="left"/>
    </xf>
    <xf numFmtId="0" fontId="1" fillId="3" borderId="0" xfId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igital.library.unt.edu/ark:/67531/metadc1027460/m2/1/high_res_d/4686485.pdf" TargetMode="External"/><Relationship Id="rId3" Type="http://schemas.openxmlformats.org/officeDocument/2006/relationships/hyperlink" Target="https://curie.pnnl.gov/system/files/Deaf_Smith_County_EA__Overview.pdf" TargetMode="External"/><Relationship Id="rId7" Type="http://schemas.openxmlformats.org/officeDocument/2006/relationships/hyperlink" Target="https://ntrl.ntis.gov/NTRL/dashboard/searchResults/titleDetail/DE85005770.xhtml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pubs.usgs.gov/of/1986/0379/report.pdf" TargetMode="External"/><Relationship Id="rId1" Type="http://schemas.openxmlformats.org/officeDocument/2006/relationships/hyperlink" Target="https://www.nrc.gov/docs/ML0333/ML033350488.pdf" TargetMode="External"/><Relationship Id="rId6" Type="http://schemas.openxmlformats.org/officeDocument/2006/relationships/hyperlink" Target="https://babel.hathitrust.org/cgi/pt?id=uiug.30112110801880&amp;seq=75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edx.netl.doe.gov/dataset/environmental-assessment-davis-canyon-site-utah-volume-i" TargetMode="External"/><Relationship Id="rId10" Type="http://schemas.openxmlformats.org/officeDocument/2006/relationships/hyperlink" Target="https://wipp.energy.gov/historytimeline.asp" TargetMode="External"/><Relationship Id="rId4" Type="http://schemas.openxmlformats.org/officeDocument/2006/relationships/hyperlink" Target="https://curie.pnnl.gov/system/files/Richton_Dome_EA_Vol_1_HQP.19870601.1592.pdf" TargetMode="External"/><Relationship Id="rId9" Type="http://schemas.openxmlformats.org/officeDocument/2006/relationships/hyperlink" Target="https://wipp.energy.gov/historytimeline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workbookViewId="0">
      <selection activeCell="M18" sqref="M18"/>
    </sheetView>
  </sheetViews>
  <sheetFormatPr defaultRowHeight="14.5" x14ac:dyDescent="0.35"/>
  <cols>
    <col min="2" max="2" width="16" customWidth="1"/>
    <col min="3" max="3" width="30.26953125" customWidth="1"/>
    <col min="7" max="7" width="11.1796875" customWidth="1"/>
  </cols>
  <sheetData>
    <row r="1" spans="1:23" x14ac:dyDescent="0.35">
      <c r="A1" t="s">
        <v>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23" x14ac:dyDescent="0.35">
      <c r="A2">
        <v>0</v>
      </c>
      <c r="B2" s="1" t="s">
        <v>7</v>
      </c>
      <c r="C2" t="s">
        <v>12</v>
      </c>
      <c r="D2" t="s">
        <v>13</v>
      </c>
      <c r="E2">
        <v>36.828631043568301</v>
      </c>
      <c r="F2">
        <v>-116.43634520468299</v>
      </c>
      <c r="G2" s="5">
        <f>DATE(J2,1,1)</f>
        <v>30317</v>
      </c>
      <c r="H2">
        <v>4</v>
      </c>
      <c r="J2">
        <v>1983</v>
      </c>
      <c r="M2" s="2" t="s">
        <v>10</v>
      </c>
      <c r="N2">
        <v>1</v>
      </c>
      <c r="O2" s="3" t="s">
        <v>11</v>
      </c>
      <c r="P2" s="3"/>
      <c r="Q2" s="3"/>
      <c r="R2" s="3"/>
      <c r="S2" s="3"/>
      <c r="T2" s="3"/>
      <c r="U2" s="3"/>
      <c r="V2" s="3"/>
    </row>
    <row r="3" spans="1:23" x14ac:dyDescent="0.35">
      <c r="A3">
        <v>1</v>
      </c>
      <c r="B3" s="1" t="s">
        <v>7</v>
      </c>
      <c r="C3" s="4" t="s">
        <v>8</v>
      </c>
      <c r="D3" t="s">
        <v>9</v>
      </c>
      <c r="E3">
        <v>35.101106329030799</v>
      </c>
      <c r="F3">
        <v>-102.472292650122</v>
      </c>
      <c r="G3" s="5">
        <f t="shared" ref="G3:G12" si="0">DATE(J3,1,1)</f>
        <v>30317</v>
      </c>
      <c r="H3">
        <v>3</v>
      </c>
      <c r="J3">
        <v>1983</v>
      </c>
      <c r="N3">
        <v>2</v>
      </c>
      <c r="O3" s="3" t="s">
        <v>14</v>
      </c>
      <c r="P3" s="3"/>
      <c r="Q3" s="3"/>
      <c r="R3" s="3"/>
      <c r="S3" s="3"/>
      <c r="T3" s="3"/>
      <c r="U3" s="3"/>
      <c r="V3" s="3"/>
    </row>
    <row r="4" spans="1:23" x14ac:dyDescent="0.35">
      <c r="A4">
        <v>2</v>
      </c>
      <c r="B4" s="1" t="s">
        <v>7</v>
      </c>
      <c r="C4" t="s">
        <v>15</v>
      </c>
      <c r="D4" t="s">
        <v>16</v>
      </c>
      <c r="E4">
        <v>46.551378074904697</v>
      </c>
      <c r="F4">
        <v>-119.489534180742</v>
      </c>
      <c r="G4" s="5">
        <f t="shared" si="0"/>
        <v>30317</v>
      </c>
      <c r="H4">
        <v>3</v>
      </c>
      <c r="J4">
        <v>1983</v>
      </c>
      <c r="N4">
        <v>3</v>
      </c>
      <c r="O4" s="7" t="s">
        <v>17</v>
      </c>
      <c r="P4" s="7"/>
      <c r="Q4" s="7"/>
      <c r="R4" s="7"/>
      <c r="S4" s="7"/>
      <c r="T4" s="7"/>
      <c r="U4" s="7"/>
      <c r="V4" s="7"/>
    </row>
    <row r="5" spans="1:23" x14ac:dyDescent="0.35">
      <c r="A5">
        <v>3</v>
      </c>
      <c r="B5" s="1" t="s">
        <v>7</v>
      </c>
      <c r="C5" s="4" t="s">
        <v>18</v>
      </c>
      <c r="D5" t="s">
        <v>19</v>
      </c>
      <c r="E5">
        <v>31.386204040306001</v>
      </c>
      <c r="F5">
        <v>-88.981032967414606</v>
      </c>
      <c r="G5" s="5">
        <f t="shared" si="0"/>
        <v>30317</v>
      </c>
      <c r="H5">
        <v>2</v>
      </c>
      <c r="J5">
        <v>1983</v>
      </c>
      <c r="N5">
        <v>4</v>
      </c>
      <c r="O5" s="7" t="s">
        <v>20</v>
      </c>
      <c r="P5" s="7"/>
      <c r="Q5" s="7"/>
      <c r="R5" s="7"/>
      <c r="S5" s="7"/>
      <c r="T5" s="7"/>
      <c r="U5" s="7"/>
      <c r="V5" s="7"/>
    </row>
    <row r="6" spans="1:23" x14ac:dyDescent="0.35">
      <c r="A6">
        <v>4</v>
      </c>
      <c r="B6" s="1" t="s">
        <v>7</v>
      </c>
      <c r="C6" s="4" t="s">
        <v>21</v>
      </c>
      <c r="D6" t="s">
        <v>22</v>
      </c>
      <c r="E6">
        <v>38.137573078999402</v>
      </c>
      <c r="F6">
        <v>-109.732467381676</v>
      </c>
      <c r="G6" s="5">
        <f t="shared" si="0"/>
        <v>30317</v>
      </c>
      <c r="H6">
        <v>2</v>
      </c>
      <c r="J6">
        <v>1983</v>
      </c>
    </row>
    <row r="7" spans="1:23" x14ac:dyDescent="0.35">
      <c r="A7">
        <v>5</v>
      </c>
      <c r="B7" s="1" t="s">
        <v>7</v>
      </c>
      <c r="C7" s="4" t="s">
        <v>23</v>
      </c>
      <c r="D7" t="s">
        <v>24</v>
      </c>
      <c r="E7">
        <v>32.455803068481103</v>
      </c>
      <c r="F7">
        <v>-93.189392296977701</v>
      </c>
      <c r="G7" s="5">
        <f t="shared" si="0"/>
        <v>30317</v>
      </c>
      <c r="H7">
        <v>1</v>
      </c>
      <c r="J7">
        <v>1983</v>
      </c>
    </row>
    <row r="8" spans="1:23" x14ac:dyDescent="0.35">
      <c r="A8">
        <v>6</v>
      </c>
      <c r="B8" s="1" t="s">
        <v>7</v>
      </c>
      <c r="C8" t="s">
        <v>25</v>
      </c>
      <c r="D8" t="s">
        <v>22</v>
      </c>
      <c r="E8">
        <v>38.049396561795497</v>
      </c>
      <c r="F8">
        <v>-109.596363737274</v>
      </c>
      <c r="G8" s="5">
        <f t="shared" si="0"/>
        <v>30317</v>
      </c>
      <c r="H8">
        <v>1</v>
      </c>
      <c r="J8">
        <v>1983</v>
      </c>
    </row>
    <row r="9" spans="1:23" x14ac:dyDescent="0.35">
      <c r="A9">
        <v>7</v>
      </c>
      <c r="B9" s="1" t="s">
        <v>7</v>
      </c>
      <c r="C9" t="s">
        <v>26</v>
      </c>
      <c r="D9" t="s">
        <v>19</v>
      </c>
      <c r="E9">
        <v>31.1302640734724</v>
      </c>
      <c r="F9">
        <v>-89.0113103612358</v>
      </c>
      <c r="G9" s="5">
        <f t="shared" si="0"/>
        <v>30317</v>
      </c>
      <c r="H9">
        <v>1</v>
      </c>
      <c r="J9">
        <v>1983</v>
      </c>
      <c r="O9" s="8" t="s">
        <v>27</v>
      </c>
      <c r="P9" s="8"/>
      <c r="Q9" s="8"/>
      <c r="R9" s="8"/>
      <c r="S9" s="8"/>
      <c r="T9" s="8"/>
      <c r="U9" s="8"/>
      <c r="V9" s="8"/>
      <c r="W9" s="8"/>
    </row>
    <row r="10" spans="1:23" x14ac:dyDescent="0.35">
      <c r="A10">
        <v>8</v>
      </c>
      <c r="B10" s="1" t="s">
        <v>7</v>
      </c>
      <c r="C10" s="4" t="s">
        <v>28</v>
      </c>
      <c r="D10" t="s">
        <v>9</v>
      </c>
      <c r="E10">
        <v>34.6542455955897</v>
      </c>
      <c r="F10">
        <v>-101.64127388631</v>
      </c>
      <c r="G10" s="5">
        <f t="shared" si="0"/>
        <v>30317</v>
      </c>
      <c r="H10">
        <v>1</v>
      </c>
      <c r="J10">
        <v>1983</v>
      </c>
    </row>
    <row r="11" spans="1:23" x14ac:dyDescent="0.35">
      <c r="A11">
        <v>9</v>
      </c>
      <c r="B11" t="s">
        <v>7</v>
      </c>
      <c r="C11" t="s">
        <v>29</v>
      </c>
      <c r="D11" t="s">
        <v>30</v>
      </c>
      <c r="E11">
        <v>32.371517499356401</v>
      </c>
      <c r="F11">
        <v>-103.793492205082</v>
      </c>
      <c r="G11" s="6">
        <f>DATE(J11,1,1)</f>
        <v>29587</v>
      </c>
      <c r="J11" s="4">
        <v>1981</v>
      </c>
    </row>
    <row r="12" spans="1:23" x14ac:dyDescent="0.35">
      <c r="A12">
        <v>10</v>
      </c>
      <c r="B12" t="s">
        <v>7</v>
      </c>
      <c r="C12" s="4" t="s">
        <v>31</v>
      </c>
      <c r="D12" t="s">
        <v>32</v>
      </c>
      <c r="E12">
        <v>38.374211871688502</v>
      </c>
      <c r="F12">
        <v>-98.228234193406806</v>
      </c>
      <c r="G12" s="5">
        <f t="shared" si="0"/>
        <v>25569</v>
      </c>
      <c r="J12">
        <v>1970</v>
      </c>
    </row>
  </sheetData>
  <mergeCells count="3">
    <mergeCell ref="O4:V4"/>
    <mergeCell ref="O5:V5"/>
    <mergeCell ref="O9:W9"/>
  </mergeCells>
  <conditionalFormatting sqref="H2:H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M2" r:id="rId1" xr:uid="{1EDE74D9-13CC-4532-AAFC-0234F1F60774}"/>
    <hyperlink ref="O9:W9" r:id="rId2" display="There were also some sites considered by the DOI but were never seriously discussed" xr:uid="{94033A13-517C-4829-8061-55D015CF3A47}"/>
    <hyperlink ref="C3" r:id="rId3" xr:uid="{7794F481-38D8-4B2B-92BE-46F234DF978B}"/>
    <hyperlink ref="C5" r:id="rId4" xr:uid="{B1CE8126-E29F-4976-A906-1D6C7639DB34}"/>
    <hyperlink ref="C6" r:id="rId5" xr:uid="{9E37DDC1-3A8E-41AC-9505-FA4D485A0146}"/>
    <hyperlink ref="C7" r:id="rId6" xr:uid="{59F19586-0BCF-466A-BC38-A5C04A4728E0}"/>
    <hyperlink ref="C10" r:id="rId7" xr:uid="{967D115C-4508-4487-9CA3-D596B403C0D0}"/>
    <hyperlink ref="C12" r:id="rId8" xr:uid="{D0BA677B-CCFE-4C41-8E5B-B22176DCBF30}"/>
    <hyperlink ref="J11" r:id="rId9" location="1504107729262-a39a36f4-b3d0" display="1981" xr:uid="{D216B958-3C0F-4CBA-9830-A8A8932A75CA}"/>
    <hyperlink ref="G11" r:id="rId10" location="1504107729262-a39a36f4-b3d0" display="1981" xr:uid="{95916397-F587-4850-BB15-86590B64BC8A}"/>
  </hyperlinks>
  <pageMargins left="0.7" right="0.7" top="0.75" bottom="0.75" header="0.3" footer="0.3"/>
  <legacy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Fisher</dc:creator>
  <cp:lastModifiedBy>Fisher, Riley</cp:lastModifiedBy>
  <dcterms:created xsi:type="dcterms:W3CDTF">2015-06-05T18:17:20Z</dcterms:created>
  <dcterms:modified xsi:type="dcterms:W3CDTF">2025-06-20T19:34:07Z</dcterms:modified>
</cp:coreProperties>
</file>