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NFCFDB\"/>
    </mc:Choice>
  </mc:AlternateContent>
  <xr:revisionPtr revIDLastSave="0" documentId="13_ncr:1_{330B0519-C3A7-405C-843D-246F6622242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2" i="1"/>
  <c r="G3" i="1"/>
  <c r="G4" i="1"/>
  <c r="G6" i="1"/>
  <c r="G7" i="1"/>
  <c r="G8" i="1"/>
  <c r="G9" i="1"/>
  <c r="G10" i="1"/>
  <c r="G11" i="1"/>
  <c r="G12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3" i="1"/>
  <c r="G60" i="1"/>
  <c r="G61" i="1"/>
  <c r="G62" i="1"/>
  <c r="G63" i="1"/>
  <c r="G64" i="1"/>
  <c r="G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J56" authorId="0" shapeId="0" xr:uid="{A2AFC201-902D-4AAE-B411-411E69E6CAA1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Fremont County site - moved to proposed</t>
        </r>
      </text>
    </comment>
    <comment ref="I61" authorId="0" shapeId="0" xr:uid="{AAFA7FA3-3794-4809-A8DD-D025F21DD57D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removed; included in proposed</t>
        </r>
      </text>
    </comment>
    <comment ref="D67" authorId="0" shapeId="0" xr:uid="{27B8BED0-C2C5-4751-BF71-00EEF91EEC1C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Not in operation; was cancelled in 2013</t>
        </r>
      </text>
    </comment>
    <comment ref="I67" authorId="0" shapeId="0" xr:uid="{96C414CA-C732-4564-9E6C-2594872FFC08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remove; included in proposed</t>
        </r>
      </text>
    </comment>
  </commentList>
</comments>
</file>

<file path=xl/sharedStrings.xml><?xml version="1.0" encoding="utf-8"?>
<sst xmlns="http://schemas.openxmlformats.org/spreadsheetml/2006/main" count="357" uniqueCount="121">
  <si>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</si>
  <si>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</si>
  <si>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</si>
  <si>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</si>
  <si>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</si>
  <si>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</si>
  <si>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</si>
  <si>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</si>
  <si>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</si>
  <si>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Arkansas Nuclear No:1 NPP Site ISFSI</t>
  </si>
  <si>
    <t>AFR Dry Spent Fuel Storage</t>
  </si>
  <si>
    <t>In Operation</t>
  </si>
  <si>
    <t>Commercial</t>
  </si>
  <si>
    <t>150 t HM</t>
  </si>
  <si>
    <t>Peach Bottom NPP Site ISFSI</t>
  </si>
  <si>
    <t>0 t HM</t>
  </si>
  <si>
    <t>Prairie Island NPP Site ISFSI</t>
  </si>
  <si>
    <t>724 t HM</t>
  </si>
  <si>
    <t>Fort St. Vrain NPP Site ISFSI</t>
  </si>
  <si>
    <t>15.4 t HM</t>
  </si>
  <si>
    <t>Point Beach NPP Site ISFSI</t>
  </si>
  <si>
    <t>447 t HM</t>
  </si>
  <si>
    <t>Palisades NPP Site ISFSI</t>
  </si>
  <si>
    <t>233 t HM</t>
  </si>
  <si>
    <t>Davis Besse NPP Site ISFSI</t>
  </si>
  <si>
    <t>360 t HM</t>
  </si>
  <si>
    <t>Calvert Cliffs NPP Site</t>
  </si>
  <si>
    <t>1112 t HM</t>
  </si>
  <si>
    <t>Surry NPP Site ISFSI</t>
  </si>
  <si>
    <t>808 t HM</t>
  </si>
  <si>
    <t>H.B. Robinson NPP Site ISFSI</t>
  </si>
  <si>
    <t>26 t HM</t>
  </si>
  <si>
    <t>Oconee NPP Site ISFSI</t>
  </si>
  <si>
    <t>380 t HM</t>
  </si>
  <si>
    <t>Big Rock Point NPP Site (shutdown) ISFSI</t>
  </si>
  <si>
    <t>Trojan NPP Site (shutdown) ISFSI</t>
  </si>
  <si>
    <t>359 t HM</t>
  </si>
  <si>
    <t>McGuire NPP Site ISFSI</t>
  </si>
  <si>
    <t>Idaho CPP-603 IFSF, CPP-749</t>
  </si>
  <si>
    <t>Laboratory</t>
  </si>
  <si>
    <t>270 t HM</t>
  </si>
  <si>
    <t>Idaho TAN-607 demonstration</t>
  </si>
  <si>
    <t>TMI-2, Debris at Idaho</t>
  </si>
  <si>
    <t>130 t HM</t>
  </si>
  <si>
    <t>North Anna NPP Site ISFSI</t>
  </si>
  <si>
    <t>840 t HM</t>
  </si>
  <si>
    <t>Dresden NPP Site</t>
  </si>
  <si>
    <t>70 t HM</t>
  </si>
  <si>
    <t>Oyster Creek NPP Site</t>
  </si>
  <si>
    <t>190 t HM</t>
  </si>
  <si>
    <t>Rancho Seco NPP Site ISFSI</t>
  </si>
  <si>
    <t>202 t HM</t>
  </si>
  <si>
    <t>Susquehanna NPP Site  ISFSI</t>
  </si>
  <si>
    <t>343 t HM</t>
  </si>
  <si>
    <t>Duane Arnold NPP Site</t>
  </si>
  <si>
    <t>Browns Ferry NPP Site</t>
  </si>
  <si>
    <t>Columbia Generating Station NPP Site ISFSI</t>
  </si>
  <si>
    <t>Farley NPP Site</t>
  </si>
  <si>
    <t>FitzPatrick NPP Site</t>
  </si>
  <si>
    <t>Haddam Neck NPP Site</t>
  </si>
  <si>
    <t>Hatch NPP Site</t>
  </si>
  <si>
    <t>Maine Yankee NPP Site (shut down) ISFSI</t>
  </si>
  <si>
    <t>Millstone NPP Site</t>
  </si>
  <si>
    <t>Palo Verde NPP Site</t>
  </si>
  <si>
    <t>Quad Cities NPP Site</t>
  </si>
  <si>
    <t>Rancho Seco NPP Site</t>
  </si>
  <si>
    <t>River Bend NPP Site</t>
  </si>
  <si>
    <t>San Onofre NPP Site</t>
  </si>
  <si>
    <t>Sequoyah NPP Site ISFSI</t>
  </si>
  <si>
    <t>Yankee Rowe NPP Site (shutdown) ISFSI</t>
  </si>
  <si>
    <t>Brunswick NPP ISFSI</t>
  </si>
  <si>
    <t xml:space="preserve"> </t>
  </si>
  <si>
    <t xml:space="preserve">Byron NPP Site_x000D_
</t>
  </si>
  <si>
    <t xml:space="preserve">Catawba NPP ISFSI_x000D_
</t>
  </si>
  <si>
    <t xml:space="preserve">Diablo Canyon NPP Site ISFSI_x000D_
</t>
  </si>
  <si>
    <t xml:space="preserve">Fort Calhoun NPP Site ISFSI_x000D_
</t>
  </si>
  <si>
    <t xml:space="preserve">Ginna NPP ISFSI_x000D_
</t>
  </si>
  <si>
    <t xml:space="preserve">Grand Gulf NPP Site ISFSI_x000D_
</t>
  </si>
  <si>
    <t xml:space="preserve">Hope Creek/Salem (combined) ISFSI_x000D_
</t>
  </si>
  <si>
    <t xml:space="preserve">Humboldt Bay_x000D_
</t>
  </si>
  <si>
    <t xml:space="preserve">Indian Point ISFSI_x000D_
</t>
  </si>
  <si>
    <t xml:space="preserve">Kewaunee NPP ISFSI_x000D_
</t>
  </si>
  <si>
    <t xml:space="preserve">LaSalle County ISFSI_x000D_
</t>
  </si>
  <si>
    <t xml:space="preserve">Limerick NPP ISFSI_x000D_
</t>
  </si>
  <si>
    <t xml:space="preserve">Seabrook ISFSI_x000D_
</t>
  </si>
  <si>
    <t xml:space="preserve">St. Lucie NPP Site_x000D_
</t>
  </si>
  <si>
    <t xml:space="preserve">Vermont Yankee NPP ISFSI_x000D_
</t>
  </si>
  <si>
    <t>Owl Creek NPP Site</t>
  </si>
  <si>
    <t>Others</t>
  </si>
  <si>
    <t>40000 t HM</t>
  </si>
  <si>
    <t>Actinide Packaging and Storage Fac. (APSF)</t>
  </si>
  <si>
    <t>2001 t HM</t>
  </si>
  <si>
    <t xml:space="preserve">Cooper Station ISFSI_x000D_
</t>
  </si>
  <si>
    <t>Consolidated Interim Storage Facility (CISF)</t>
  </si>
  <si>
    <t xml:space="preserve">10000 </t>
  </si>
  <si>
    <t>Hanford - Canister Storage Building</t>
  </si>
  <si>
    <t>Under Construction</t>
  </si>
  <si>
    <t>2300 t HM</t>
  </si>
  <si>
    <t>Consolidated Interim Storage facility</t>
  </si>
  <si>
    <t>West Valley Reprocessing Plant Site</t>
  </si>
  <si>
    <t>AFR Wet Spent Fuel Storage (Pool)</t>
  </si>
  <si>
    <t>Decommissioning</t>
  </si>
  <si>
    <t>27 t HM</t>
  </si>
  <si>
    <t>Morris Reprocessing Plant Site (Wet)</t>
  </si>
  <si>
    <t>750 t HM</t>
  </si>
  <si>
    <t>Idaho CPP-603, CPP-666</t>
  </si>
  <si>
    <t>Savannah River (SRS)</t>
  </si>
  <si>
    <t>Hanford - K Basins</t>
  </si>
  <si>
    <t>2100 t HM</t>
  </si>
  <si>
    <t>Private Fuel Storage ISFSI</t>
  </si>
  <si>
    <t>4000 t HM</t>
  </si>
  <si>
    <t xml:space="preserve">Lacrosse NPP (shutdown) ISFSI_x000D_
</t>
  </si>
  <si>
    <t>Note: I don't know whether to use this data because it seems so incomplete</t>
  </si>
  <si>
    <t>Natl Lab</t>
  </si>
  <si>
    <t>INL</t>
  </si>
  <si>
    <t>Locations taken from NPP database where applicable</t>
  </si>
  <si>
    <t>DON’T TOUCH START/STOP DATES</t>
  </si>
  <si>
    <t>Hanford</t>
  </si>
  <si>
    <t>Savannah River</t>
  </si>
  <si>
    <t>LLNL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</si>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</sst>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 diagonalUp="1" diagonalDown="1"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 style="thin">
        <color rgb="FF000000"/>
      </diagonal>
    </border>
    <border diagonalUp="1" diagonalDown="1"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 style="thin">
        <color rgb="FF000000"/>
      </diagonal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164" fontId="0" fillId="3" borderId="5" xfId="0" applyNumberFormat="1" applyFill="1" applyBorder="1"/>
    <xf numFmtId="164" fontId="0" fillId="3" borderId="9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5" xfId="0" applyNumberFormat="1" applyBorder="1"/>
    <xf numFmtId="164" fontId="0" fillId="0" borderId="9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164" fontId="0" fillId="3" borderId="6" xfId="0" applyNumberFormat="1" applyFill="1" applyBorder="1"/>
    <xf numFmtId="164" fontId="0" fillId="3" borderId="10" xfId="0" applyNumberFormat="1" applyFill="1" applyBorder="1"/>
    <xf numFmtId="0" fontId="0" fillId="3" borderId="9" xfId="0" applyFill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164" fontId="0" fillId="4" borderId="0" xfId="0" applyNumberFormat="1" applyFill="1"/>
    <xf numFmtId="0" fontId="0" fillId="4" borderId="0" xfId="0" applyFill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0" fillId="0" borderId="17" xfId="0" applyBorder="1"/>
    <xf numFmtId="14" fontId="0" fillId="3" borderId="8" xfId="0" applyNumberFormat="1" applyFill="1" applyBorder="1"/>
    <xf numFmtId="14" fontId="0" fillId="3" borderId="7" xfId="0" applyNumberFormat="1" applyFill="1" applyBorder="1"/>
    <xf numFmtId="14" fontId="0" fillId="0" borderId="7" xfId="0" applyNumberFormat="1" applyBorder="1"/>
    <xf numFmtId="14" fontId="0" fillId="5" borderId="7" xfId="0" applyNumberFormat="1" applyFill="1" applyBorder="1"/>
    <xf numFmtId="14" fontId="0" fillId="4" borderId="7" xfId="0" applyNumberFormat="1" applyFill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88CB0-E196-418C-B1F7-4364F00928ED}" name="Table2" displayName="Table2" ref="B1:K68" totalsRowShown="0" headerRowDxfId="12" headerRowBorderDxfId="11" tableBorderDxfId="10" totalsRowBorderDxfId="9">
  <autoFilter ref="B1:K68" xr:uid="{DBD88CB0-E196-418C-B1F7-4364F00928ED}"/>
  <tableColumns count="10">
    <tableColumn id="1" xr3:uid="{2ABEC022-870A-41F4-9A21-F420B73EC4F0}" name="Name" dataDxfId="8"/>
    <tableColumn id="2" xr3:uid="{60617418-799E-4624-B31E-25000EFCF119}" name="Type" dataDxfId="7"/>
    <tableColumn id="3" xr3:uid="{2CF64CE3-0B9F-4874-878F-A3929C989660}" name="Status" dataDxfId="6"/>
    <tableColumn id="4" xr3:uid="{3D26ED1F-A8EF-4F64-BD9A-81D0F2B2F5E9}" name="Scale" dataDxfId="5"/>
    <tableColumn id="5" xr3:uid="{6640E4CC-3B14-46AC-B40B-0D78E686F499}" name="Capacity" dataDxfId="4"/>
    <tableColumn id="6" xr3:uid="{4B3F7D37-41DB-46E5-8F21-38AD1E5724F4}" name="Start" dataDxfId="3"/>
    <tableColumn id="7" xr3:uid="{CED470C8-9DB9-4D71-BBC2-52026C0DB10E}" name="Stop" dataDxfId="2"/>
    <tableColumn id="8" xr3:uid="{AC1F4316-8D8A-44C2-A57A-BC39ECDE5F63}" name="Lat" dataDxfId="1"/>
    <tableColumn id="9" xr3:uid="{7084537F-7611-45E2-A1EF-CAB28591C99D}" name="Long" dataDxfId="0"/>
    <tableColumn id="10" xr3:uid="{AFC6D0FE-0AA5-43F3-BFEB-76E21F205127}" name="Natl La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tabSelected="1" topLeftCell="B46" workbookViewId="0">
      <selection activeCell="M53" sqref="M53"/>
    </sheetView>
  </sheetViews>
  <sheetFormatPr defaultRowHeight="14.5" x14ac:dyDescent="0.35"/>
  <cols>
    <col min="2" max="2" width="38.26953125" bestFit="1" customWidth="1"/>
    <col min="3" max="3" width="30.6328125" bestFit="1" customWidth="1"/>
    <col min="4" max="4" width="17.54296875" bestFit="1" customWidth="1"/>
    <col min="5" max="5" width="11" bestFit="1" customWidth="1"/>
    <col min="6" max="6" width="10" customWidth="1"/>
  </cols>
  <sheetData>
    <row r="1" spans="1:21" x14ac:dyDescent="0.35">
      <c r="A1" t="s">
        <v>120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113</v>
      </c>
      <c r="M1" t="s">
        <v>112</v>
      </c>
    </row>
    <row r="2" spans="1:21" x14ac:dyDescent="0.35">
      <c r="A2">
        <v>0</v>
      </c>
      <c r="B2" s="4" t="s">
        <v>9</v>
      </c>
      <c r="C2" s="5" t="s">
        <v>10</v>
      </c>
      <c r="D2" s="6" t="s">
        <v>11</v>
      </c>
      <c r="E2" s="7" t="s">
        <v>12</v>
      </c>
      <c r="F2" s="6" t="s">
        <v>13</v>
      </c>
      <c r="G2" s="41">
        <f t="shared" ref="G2:G12" si="0">DATE(U2,1,1)</f>
        <v>35431</v>
      </c>
      <c r="H2" s="40"/>
      <c r="I2" s="8">
        <v>35.3109352687691</v>
      </c>
      <c r="J2" s="9">
        <v>-93.230861560692205</v>
      </c>
      <c r="M2" t="s">
        <v>116</v>
      </c>
      <c r="U2" s="7">
        <v>1997</v>
      </c>
    </row>
    <row r="3" spans="1:21" x14ac:dyDescent="0.35">
      <c r="A3">
        <v>1</v>
      </c>
      <c r="B3" s="10" t="s">
        <v>14</v>
      </c>
      <c r="C3" s="11" t="s">
        <v>10</v>
      </c>
      <c r="D3" s="12" t="s">
        <v>11</v>
      </c>
      <c r="E3" s="13" t="s">
        <v>12</v>
      </c>
      <c r="F3" s="12" t="s">
        <v>15</v>
      </c>
      <c r="G3" s="42">
        <f t="shared" si="0"/>
        <v>36526</v>
      </c>
      <c r="H3" s="40"/>
      <c r="I3" s="14">
        <v>39.7602428179189</v>
      </c>
      <c r="J3" s="15">
        <v>-76.268786885664198</v>
      </c>
      <c r="U3" s="13">
        <v>2000</v>
      </c>
    </row>
    <row r="4" spans="1:21" x14ac:dyDescent="0.35">
      <c r="A4">
        <v>2</v>
      </c>
      <c r="B4" s="4" t="s">
        <v>16</v>
      </c>
      <c r="C4" s="5" t="s">
        <v>10</v>
      </c>
      <c r="D4" s="6" t="s">
        <v>11</v>
      </c>
      <c r="E4" s="7" t="s">
        <v>12</v>
      </c>
      <c r="F4" s="6" t="s">
        <v>17</v>
      </c>
      <c r="G4" s="41">
        <f t="shared" si="0"/>
        <v>34335</v>
      </c>
      <c r="H4" s="40"/>
      <c r="I4" s="8">
        <v>44.622511487470398</v>
      </c>
      <c r="J4" s="9">
        <v>-92.6406381719693</v>
      </c>
      <c r="U4" s="7">
        <v>1994</v>
      </c>
    </row>
    <row r="5" spans="1:21" x14ac:dyDescent="0.35">
      <c r="A5">
        <v>3</v>
      </c>
      <c r="B5" s="10" t="s">
        <v>18</v>
      </c>
      <c r="C5" s="11" t="s">
        <v>10</v>
      </c>
      <c r="D5" s="12" t="s">
        <v>11</v>
      </c>
      <c r="E5" s="13" t="s">
        <v>12</v>
      </c>
      <c r="F5" s="12" t="s">
        <v>19</v>
      </c>
      <c r="G5" s="42">
        <f t="shared" si="0"/>
        <v>33604</v>
      </c>
      <c r="H5" s="40"/>
      <c r="I5" s="16">
        <v>40.245456341291401</v>
      </c>
      <c r="J5" s="17">
        <v>-104.87376020171401</v>
      </c>
      <c r="M5" t="s">
        <v>115</v>
      </c>
      <c r="U5" s="13">
        <v>1992</v>
      </c>
    </row>
    <row r="6" spans="1:21" x14ac:dyDescent="0.35">
      <c r="A6">
        <v>4</v>
      </c>
      <c r="B6" s="4" t="s">
        <v>20</v>
      </c>
      <c r="C6" s="5" t="s">
        <v>10</v>
      </c>
      <c r="D6" s="6" t="s">
        <v>11</v>
      </c>
      <c r="E6" s="7" t="s">
        <v>12</v>
      </c>
      <c r="F6" s="6" t="s">
        <v>21</v>
      </c>
      <c r="G6" s="41">
        <f t="shared" si="0"/>
        <v>34700</v>
      </c>
      <c r="H6" s="40"/>
      <c r="I6" s="18">
        <v>44.281093129639601</v>
      </c>
      <c r="J6" s="19">
        <v>-87.536182820413799</v>
      </c>
      <c r="U6" s="7">
        <v>1995</v>
      </c>
    </row>
    <row r="7" spans="1:21" x14ac:dyDescent="0.35">
      <c r="A7">
        <v>5</v>
      </c>
      <c r="B7" s="10" t="s">
        <v>22</v>
      </c>
      <c r="C7" s="11" t="s">
        <v>10</v>
      </c>
      <c r="D7" s="12" t="s">
        <v>11</v>
      </c>
      <c r="E7" s="13" t="s">
        <v>12</v>
      </c>
      <c r="F7" s="12" t="s">
        <v>23</v>
      </c>
      <c r="G7" s="42">
        <f t="shared" si="0"/>
        <v>33970</v>
      </c>
      <c r="H7" s="40"/>
      <c r="I7" s="16">
        <v>42.3233892875962</v>
      </c>
      <c r="J7" s="17">
        <v>-86.313024817529396</v>
      </c>
      <c r="U7" s="13">
        <v>1993</v>
      </c>
    </row>
    <row r="8" spans="1:21" x14ac:dyDescent="0.35">
      <c r="A8">
        <v>6</v>
      </c>
      <c r="B8" s="4" t="s">
        <v>24</v>
      </c>
      <c r="C8" s="5" t="s">
        <v>10</v>
      </c>
      <c r="D8" s="6" t="s">
        <v>11</v>
      </c>
      <c r="E8" s="7" t="s">
        <v>12</v>
      </c>
      <c r="F8" s="6" t="s">
        <v>25</v>
      </c>
      <c r="G8" s="41">
        <f t="shared" si="0"/>
        <v>34700</v>
      </c>
      <c r="H8" s="40"/>
      <c r="I8" s="18">
        <v>41.596469104569401</v>
      </c>
      <c r="J8" s="19">
        <v>-83.095234785590407</v>
      </c>
      <c r="U8" s="7">
        <v>1995</v>
      </c>
    </row>
    <row r="9" spans="1:21" x14ac:dyDescent="0.35">
      <c r="A9">
        <v>7</v>
      </c>
      <c r="B9" s="10" t="s">
        <v>26</v>
      </c>
      <c r="C9" s="11" t="s">
        <v>10</v>
      </c>
      <c r="D9" s="12" t="s">
        <v>11</v>
      </c>
      <c r="E9" s="13" t="s">
        <v>12</v>
      </c>
      <c r="F9" s="12" t="s">
        <v>27</v>
      </c>
      <c r="G9" s="42">
        <f t="shared" si="0"/>
        <v>33604</v>
      </c>
      <c r="H9" s="40"/>
      <c r="I9" s="16">
        <v>38.431611029183898</v>
      </c>
      <c r="J9" s="17">
        <v>-76.441287833087799</v>
      </c>
      <c r="U9" s="13">
        <v>1992</v>
      </c>
    </row>
    <row r="10" spans="1:21" x14ac:dyDescent="0.35">
      <c r="A10">
        <v>8</v>
      </c>
      <c r="B10" s="4" t="s">
        <v>28</v>
      </c>
      <c r="C10" s="5" t="s">
        <v>10</v>
      </c>
      <c r="D10" s="6" t="s">
        <v>11</v>
      </c>
      <c r="E10" s="7" t="s">
        <v>12</v>
      </c>
      <c r="F10" s="6" t="s">
        <v>29</v>
      </c>
      <c r="G10" s="41">
        <f t="shared" si="0"/>
        <v>31413</v>
      </c>
      <c r="H10" s="40"/>
      <c r="I10" s="18">
        <v>37.1657395548511</v>
      </c>
      <c r="J10" s="19">
        <v>-76.697683324442494</v>
      </c>
      <c r="U10" s="7">
        <v>1986</v>
      </c>
    </row>
    <row r="11" spans="1:21" x14ac:dyDescent="0.35">
      <c r="A11">
        <v>9</v>
      </c>
      <c r="B11" s="10" t="s">
        <v>30</v>
      </c>
      <c r="C11" s="11" t="s">
        <v>10</v>
      </c>
      <c r="D11" s="12" t="s">
        <v>11</v>
      </c>
      <c r="E11" s="13" t="s">
        <v>12</v>
      </c>
      <c r="F11" s="12" t="s">
        <v>31</v>
      </c>
      <c r="G11" s="42">
        <f t="shared" si="0"/>
        <v>31413</v>
      </c>
      <c r="H11" s="40"/>
      <c r="I11" s="16">
        <v>34.401260663519601</v>
      </c>
      <c r="J11" s="17">
        <v>-80.158989680318498</v>
      </c>
      <c r="U11" s="13">
        <v>1986</v>
      </c>
    </row>
    <row r="12" spans="1:21" x14ac:dyDescent="0.35">
      <c r="A12">
        <v>10</v>
      </c>
      <c r="B12" s="4" t="s">
        <v>32</v>
      </c>
      <c r="C12" s="5" t="s">
        <v>10</v>
      </c>
      <c r="D12" s="6" t="s">
        <v>11</v>
      </c>
      <c r="E12" s="7" t="s">
        <v>12</v>
      </c>
      <c r="F12" s="6" t="s">
        <v>33</v>
      </c>
      <c r="G12" s="41">
        <f t="shared" si="0"/>
        <v>32874</v>
      </c>
      <c r="H12" s="40"/>
      <c r="I12" s="18">
        <v>34.797158628379897</v>
      </c>
      <c r="J12" s="19">
        <v>-82.901959935081507</v>
      </c>
      <c r="U12" s="7">
        <v>1990</v>
      </c>
    </row>
    <row r="13" spans="1:21" x14ac:dyDescent="0.35">
      <c r="A13">
        <v>11</v>
      </c>
      <c r="B13" s="10" t="s">
        <v>34</v>
      </c>
      <c r="C13" s="11" t="s">
        <v>10</v>
      </c>
      <c r="D13" s="12" t="s">
        <v>11</v>
      </c>
      <c r="E13" s="13" t="s">
        <v>12</v>
      </c>
      <c r="F13" s="12" t="s">
        <v>15</v>
      </c>
      <c r="G13" s="42"/>
      <c r="H13" s="40"/>
      <c r="I13" s="16">
        <v>45.359608610337901</v>
      </c>
      <c r="J13" s="17">
        <v>-85.195762338727604</v>
      </c>
      <c r="U13" s="13"/>
    </row>
    <row r="14" spans="1:21" x14ac:dyDescent="0.35">
      <c r="A14">
        <v>12</v>
      </c>
      <c r="B14" s="4" t="s">
        <v>35</v>
      </c>
      <c r="C14" s="5" t="s">
        <v>10</v>
      </c>
      <c r="D14" s="6" t="s">
        <v>11</v>
      </c>
      <c r="E14" s="7" t="s">
        <v>12</v>
      </c>
      <c r="F14" s="6" t="s">
        <v>36</v>
      </c>
      <c r="G14" s="7"/>
      <c r="H14" s="40"/>
      <c r="I14" s="18">
        <v>46.038355314220603</v>
      </c>
      <c r="J14" s="19">
        <v>-122.88501073212301</v>
      </c>
      <c r="U14" s="7"/>
    </row>
    <row r="15" spans="1:21" x14ac:dyDescent="0.35">
      <c r="A15">
        <v>13</v>
      </c>
      <c r="B15" s="10" t="s">
        <v>37</v>
      </c>
      <c r="C15" s="11" t="s">
        <v>10</v>
      </c>
      <c r="D15" s="12" t="s">
        <v>11</v>
      </c>
      <c r="E15" s="13" t="s">
        <v>12</v>
      </c>
      <c r="F15" s="12" t="s">
        <v>15</v>
      </c>
      <c r="G15" s="42">
        <f t="shared" ref="G15:G39" si="1">DATE(U15,1,1)</f>
        <v>36526</v>
      </c>
      <c r="H15" s="40"/>
      <c r="I15" s="16">
        <v>35.434590304859803</v>
      </c>
      <c r="J15" s="17">
        <v>-80.949279244154795</v>
      </c>
      <c r="U15" s="13">
        <v>2000</v>
      </c>
    </row>
    <row r="16" spans="1:21" x14ac:dyDescent="0.35">
      <c r="A16">
        <v>14</v>
      </c>
      <c r="B16" s="4" t="s">
        <v>38</v>
      </c>
      <c r="C16" s="5" t="s">
        <v>10</v>
      </c>
      <c r="D16" s="6" t="s">
        <v>11</v>
      </c>
      <c r="E16" s="7" t="s">
        <v>39</v>
      </c>
      <c r="F16" s="6" t="s">
        <v>40</v>
      </c>
      <c r="G16" s="41">
        <f t="shared" si="1"/>
        <v>27395</v>
      </c>
      <c r="H16" s="40"/>
      <c r="I16" s="5"/>
      <c r="J16" s="20"/>
      <c r="K16" t="s">
        <v>114</v>
      </c>
      <c r="U16" s="7">
        <v>1975</v>
      </c>
    </row>
    <row r="17" spans="1:21" x14ac:dyDescent="0.35">
      <c r="A17">
        <v>15</v>
      </c>
      <c r="B17" s="10" t="s">
        <v>41</v>
      </c>
      <c r="C17" s="11" t="s">
        <v>10</v>
      </c>
      <c r="D17" s="12" t="s">
        <v>11</v>
      </c>
      <c r="E17" s="13" t="s">
        <v>39</v>
      </c>
      <c r="F17" s="12" t="s">
        <v>15</v>
      </c>
      <c r="G17" s="42">
        <f t="shared" si="1"/>
        <v>27395</v>
      </c>
      <c r="H17" s="40"/>
      <c r="I17" s="11"/>
      <c r="J17" s="21"/>
      <c r="K17" t="s">
        <v>114</v>
      </c>
      <c r="U17" s="13">
        <v>1975</v>
      </c>
    </row>
    <row r="18" spans="1:21" x14ac:dyDescent="0.35">
      <c r="A18">
        <v>16</v>
      </c>
      <c r="B18" s="4" t="s">
        <v>42</v>
      </c>
      <c r="C18" s="5" t="s">
        <v>10</v>
      </c>
      <c r="D18" s="6" t="s">
        <v>11</v>
      </c>
      <c r="E18" s="7" t="s">
        <v>39</v>
      </c>
      <c r="F18" s="6" t="s">
        <v>43</v>
      </c>
      <c r="G18" s="41">
        <f t="shared" si="1"/>
        <v>36161</v>
      </c>
      <c r="H18" s="40"/>
      <c r="I18" s="5"/>
      <c r="J18" s="20"/>
      <c r="K18" t="s">
        <v>114</v>
      </c>
      <c r="U18" s="7">
        <v>1999</v>
      </c>
    </row>
    <row r="19" spans="1:21" x14ac:dyDescent="0.35">
      <c r="A19">
        <v>17</v>
      </c>
      <c r="B19" s="10" t="s">
        <v>44</v>
      </c>
      <c r="C19" s="11" t="s">
        <v>10</v>
      </c>
      <c r="D19" s="12" t="s">
        <v>11</v>
      </c>
      <c r="E19" s="13" t="s">
        <v>12</v>
      </c>
      <c r="F19" s="12" t="s">
        <v>45</v>
      </c>
      <c r="G19" s="42">
        <f t="shared" si="1"/>
        <v>35796</v>
      </c>
      <c r="H19" s="40"/>
      <c r="I19" s="16">
        <v>38.061088114419299</v>
      </c>
      <c r="J19" s="17">
        <v>-77.788410909067395</v>
      </c>
      <c r="U19" s="13">
        <v>1998</v>
      </c>
    </row>
    <row r="20" spans="1:21" x14ac:dyDescent="0.35">
      <c r="A20">
        <v>18</v>
      </c>
      <c r="B20" s="4" t="s">
        <v>46</v>
      </c>
      <c r="C20" s="5" t="s">
        <v>10</v>
      </c>
      <c r="D20" s="6" t="s">
        <v>11</v>
      </c>
      <c r="E20" s="7" t="s">
        <v>12</v>
      </c>
      <c r="F20" s="6" t="s">
        <v>47</v>
      </c>
      <c r="G20" s="41">
        <f t="shared" si="1"/>
        <v>36892</v>
      </c>
      <c r="H20" s="40"/>
      <c r="I20" s="18">
        <v>41.388602259103898</v>
      </c>
      <c r="J20" s="19">
        <v>-88.269112068408802</v>
      </c>
      <c r="U20" s="7">
        <v>2001</v>
      </c>
    </row>
    <row r="21" spans="1:21" x14ac:dyDescent="0.35">
      <c r="A21">
        <v>19</v>
      </c>
      <c r="B21" s="10" t="s">
        <v>48</v>
      </c>
      <c r="C21" s="11" t="s">
        <v>10</v>
      </c>
      <c r="D21" s="12" t="s">
        <v>11</v>
      </c>
      <c r="E21" s="13" t="s">
        <v>12</v>
      </c>
      <c r="F21" s="12" t="s">
        <v>49</v>
      </c>
      <c r="G21" s="42">
        <f t="shared" si="1"/>
        <v>36526</v>
      </c>
      <c r="H21" s="40"/>
      <c r="I21" s="26">
        <v>39.814243175554502</v>
      </c>
      <c r="J21" s="26">
        <v>-74.219609534829999</v>
      </c>
      <c r="U21" s="13">
        <v>2000</v>
      </c>
    </row>
    <row r="22" spans="1:21" x14ac:dyDescent="0.35">
      <c r="A22">
        <v>20</v>
      </c>
      <c r="B22" s="33" t="s">
        <v>50</v>
      </c>
      <c r="C22" s="34" t="s">
        <v>10</v>
      </c>
      <c r="D22" s="35" t="s">
        <v>11</v>
      </c>
      <c r="E22" s="36" t="s">
        <v>12</v>
      </c>
      <c r="F22" s="35" t="s">
        <v>51</v>
      </c>
      <c r="G22" s="43">
        <f t="shared" si="1"/>
        <v>32509</v>
      </c>
      <c r="H22" s="40"/>
      <c r="I22" s="31">
        <v>38.344644206832399</v>
      </c>
      <c r="J22" s="31">
        <v>-121.12002815818801</v>
      </c>
      <c r="K22" s="32"/>
      <c r="U22" s="36">
        <v>1989</v>
      </c>
    </row>
    <row r="23" spans="1:21" x14ac:dyDescent="0.35">
      <c r="A23">
        <v>21</v>
      </c>
      <c r="B23" s="10" t="s">
        <v>52</v>
      </c>
      <c r="C23" s="11" t="s">
        <v>10</v>
      </c>
      <c r="D23" s="12" t="s">
        <v>11</v>
      </c>
      <c r="E23" s="13" t="s">
        <v>12</v>
      </c>
      <c r="F23" s="12" t="s">
        <v>53</v>
      </c>
      <c r="G23" s="42">
        <f t="shared" si="1"/>
        <v>35796</v>
      </c>
      <c r="H23" s="40"/>
      <c r="I23" s="26">
        <v>41.089708169378802</v>
      </c>
      <c r="J23" s="26">
        <v>-76.145232931080102</v>
      </c>
      <c r="U23" s="13">
        <v>1998</v>
      </c>
    </row>
    <row r="24" spans="1:21" x14ac:dyDescent="0.35">
      <c r="A24">
        <v>22</v>
      </c>
      <c r="B24" s="4" t="s">
        <v>54</v>
      </c>
      <c r="C24" s="5" t="s">
        <v>10</v>
      </c>
      <c r="D24" s="6" t="s">
        <v>11</v>
      </c>
      <c r="E24" s="7" t="s">
        <v>12</v>
      </c>
      <c r="F24" s="6" t="s">
        <v>15</v>
      </c>
      <c r="G24" s="41">
        <f t="shared" si="1"/>
        <v>37987</v>
      </c>
      <c r="H24" s="40"/>
      <c r="I24" s="26">
        <v>41.944077018241103</v>
      </c>
      <c r="J24" s="26">
        <v>-91.6380453917766</v>
      </c>
      <c r="U24" s="7">
        <v>2004</v>
      </c>
    </row>
    <row r="25" spans="1:21" x14ac:dyDescent="0.35">
      <c r="A25">
        <v>23</v>
      </c>
      <c r="B25" s="10" t="s">
        <v>55</v>
      </c>
      <c r="C25" s="11" t="s">
        <v>10</v>
      </c>
      <c r="D25" s="12" t="s">
        <v>11</v>
      </c>
      <c r="E25" s="13" t="s">
        <v>12</v>
      </c>
      <c r="F25" s="12" t="s">
        <v>49</v>
      </c>
      <c r="G25" s="42">
        <f t="shared" si="1"/>
        <v>37987</v>
      </c>
      <c r="H25" s="40"/>
      <c r="I25" s="26">
        <v>34.704873753597703</v>
      </c>
      <c r="J25" s="26">
        <v>-87.116917144550897</v>
      </c>
      <c r="U25" s="13">
        <v>2004</v>
      </c>
    </row>
    <row r="26" spans="1:21" x14ac:dyDescent="0.35">
      <c r="A26">
        <v>24</v>
      </c>
      <c r="B26" s="4" t="s">
        <v>56</v>
      </c>
      <c r="C26" s="5" t="s">
        <v>10</v>
      </c>
      <c r="D26" s="6" t="s">
        <v>11</v>
      </c>
      <c r="E26" s="7" t="s">
        <v>12</v>
      </c>
      <c r="F26" s="6" t="s">
        <v>49</v>
      </c>
      <c r="G26" s="41">
        <f t="shared" si="1"/>
        <v>36526</v>
      </c>
      <c r="H26" s="40"/>
      <c r="I26" s="26">
        <v>46.471698580942999</v>
      </c>
      <c r="J26" s="26">
        <v>-119.333804947988</v>
      </c>
      <c r="U26" s="7">
        <v>2000</v>
      </c>
    </row>
    <row r="27" spans="1:21" x14ac:dyDescent="0.35">
      <c r="A27">
        <v>25</v>
      </c>
      <c r="B27" s="10" t="s">
        <v>57</v>
      </c>
      <c r="C27" s="11" t="s">
        <v>10</v>
      </c>
      <c r="D27" s="12" t="s">
        <v>11</v>
      </c>
      <c r="E27" s="13" t="s">
        <v>12</v>
      </c>
      <c r="F27" s="12" t="s">
        <v>49</v>
      </c>
      <c r="G27" s="42">
        <f t="shared" si="1"/>
        <v>38718</v>
      </c>
      <c r="H27" s="40"/>
      <c r="I27" s="26">
        <v>31.222644128837</v>
      </c>
      <c r="J27" s="26">
        <v>-85.111475765593397</v>
      </c>
      <c r="U27" s="13">
        <v>2006</v>
      </c>
    </row>
    <row r="28" spans="1:21" x14ac:dyDescent="0.35">
      <c r="A28">
        <v>26</v>
      </c>
      <c r="B28" s="4" t="s">
        <v>58</v>
      </c>
      <c r="C28" s="5" t="s">
        <v>10</v>
      </c>
      <c r="D28" s="6" t="s">
        <v>11</v>
      </c>
      <c r="E28" s="7" t="s">
        <v>12</v>
      </c>
      <c r="F28" s="6" t="s">
        <v>49</v>
      </c>
      <c r="G28" s="41">
        <f t="shared" si="1"/>
        <v>37257</v>
      </c>
      <c r="H28" s="40"/>
      <c r="I28" s="26">
        <v>43.523400425647502</v>
      </c>
      <c r="J28" s="26">
        <v>-76.398714046690898</v>
      </c>
      <c r="U28" s="7">
        <v>2002</v>
      </c>
    </row>
    <row r="29" spans="1:21" x14ac:dyDescent="0.35">
      <c r="A29">
        <v>27</v>
      </c>
      <c r="B29" s="10" t="s">
        <v>59</v>
      </c>
      <c r="C29" s="11" t="s">
        <v>10</v>
      </c>
      <c r="D29" s="12" t="s">
        <v>11</v>
      </c>
      <c r="E29" s="13" t="s">
        <v>12</v>
      </c>
      <c r="F29" s="12" t="s">
        <v>49</v>
      </c>
      <c r="G29" s="42">
        <f t="shared" si="1"/>
        <v>35065</v>
      </c>
      <c r="H29" s="40"/>
      <c r="I29" s="26">
        <v>41.481479298502897</v>
      </c>
      <c r="J29" s="26">
        <v>-72.485990151374807</v>
      </c>
      <c r="U29" s="13">
        <v>1996</v>
      </c>
    </row>
    <row r="30" spans="1:21" x14ac:dyDescent="0.35">
      <c r="A30">
        <v>28</v>
      </c>
      <c r="B30" s="4" t="s">
        <v>60</v>
      </c>
      <c r="C30" s="5" t="s">
        <v>10</v>
      </c>
      <c r="D30" s="6" t="s">
        <v>11</v>
      </c>
      <c r="E30" s="7" t="s">
        <v>12</v>
      </c>
      <c r="F30" s="6" t="s">
        <v>49</v>
      </c>
      <c r="G30" s="41">
        <f t="shared" si="1"/>
        <v>35796</v>
      </c>
      <c r="H30" s="40"/>
      <c r="I30" s="26">
        <v>31.934541734791001</v>
      </c>
      <c r="J30" s="26">
        <v>-82.344047985946403</v>
      </c>
      <c r="U30" s="7">
        <v>1998</v>
      </c>
    </row>
    <row r="31" spans="1:21" x14ac:dyDescent="0.35">
      <c r="A31">
        <v>29</v>
      </c>
      <c r="B31" s="10" t="s">
        <v>61</v>
      </c>
      <c r="C31" s="11" t="s">
        <v>10</v>
      </c>
      <c r="D31" s="12" t="s">
        <v>11</v>
      </c>
      <c r="E31" s="13" t="s">
        <v>12</v>
      </c>
      <c r="F31" s="12" t="s">
        <v>49</v>
      </c>
      <c r="G31" s="42">
        <f t="shared" si="1"/>
        <v>35431</v>
      </c>
      <c r="H31" s="40"/>
      <c r="I31" s="26">
        <v>43.9543274421994</v>
      </c>
      <c r="J31" s="26">
        <v>-69.694219693998704</v>
      </c>
      <c r="U31" s="13">
        <v>1997</v>
      </c>
    </row>
    <row r="32" spans="1:21" x14ac:dyDescent="0.35">
      <c r="A32">
        <v>30</v>
      </c>
      <c r="B32" s="4" t="s">
        <v>62</v>
      </c>
      <c r="C32" s="5" t="s">
        <v>10</v>
      </c>
      <c r="D32" s="6" t="s">
        <v>11</v>
      </c>
      <c r="E32" s="7" t="s">
        <v>12</v>
      </c>
      <c r="F32" s="6" t="s">
        <v>49</v>
      </c>
      <c r="G32" s="41">
        <f t="shared" si="1"/>
        <v>37987</v>
      </c>
      <c r="H32" s="40"/>
      <c r="I32" s="26">
        <v>41.310432301456402</v>
      </c>
      <c r="J32" s="26">
        <v>-72.167045559905304</v>
      </c>
      <c r="U32" s="7">
        <v>2004</v>
      </c>
    </row>
    <row r="33" spans="1:21" x14ac:dyDescent="0.35">
      <c r="A33">
        <v>31</v>
      </c>
      <c r="B33" s="10" t="s">
        <v>63</v>
      </c>
      <c r="C33" s="11" t="s">
        <v>10</v>
      </c>
      <c r="D33" s="12" t="s">
        <v>11</v>
      </c>
      <c r="E33" s="13" t="s">
        <v>12</v>
      </c>
      <c r="F33" s="12" t="s">
        <v>49</v>
      </c>
      <c r="G33" s="42">
        <f t="shared" si="1"/>
        <v>37622</v>
      </c>
      <c r="H33" s="40"/>
      <c r="I33" s="26">
        <v>33.3827757305395</v>
      </c>
      <c r="J33" s="26">
        <v>-112.860551231923</v>
      </c>
      <c r="U33" s="13">
        <v>2003</v>
      </c>
    </row>
    <row r="34" spans="1:21" x14ac:dyDescent="0.35">
      <c r="A34">
        <v>32</v>
      </c>
      <c r="B34" s="4" t="s">
        <v>64</v>
      </c>
      <c r="C34" s="5" t="s">
        <v>10</v>
      </c>
      <c r="D34" s="6" t="s">
        <v>11</v>
      </c>
      <c r="E34" s="7" t="s">
        <v>12</v>
      </c>
      <c r="F34" s="6" t="s">
        <v>49</v>
      </c>
      <c r="G34" s="41">
        <f t="shared" si="1"/>
        <v>37987</v>
      </c>
      <c r="H34" s="40"/>
      <c r="I34" s="26">
        <v>41.728878905298799</v>
      </c>
      <c r="J34" s="26">
        <v>-90.308076413974902</v>
      </c>
      <c r="U34" s="7">
        <v>2004</v>
      </c>
    </row>
    <row r="35" spans="1:21" x14ac:dyDescent="0.35">
      <c r="A35">
        <v>33</v>
      </c>
      <c r="B35" s="27" t="s">
        <v>65</v>
      </c>
      <c r="C35" s="28" t="s">
        <v>10</v>
      </c>
      <c r="D35" s="29" t="s">
        <v>11</v>
      </c>
      <c r="E35" s="30" t="s">
        <v>12</v>
      </c>
      <c r="F35" s="29" t="s">
        <v>49</v>
      </c>
      <c r="G35" s="44">
        <f t="shared" si="1"/>
        <v>32509</v>
      </c>
      <c r="H35" s="40"/>
      <c r="I35" s="31"/>
      <c r="J35" s="31"/>
      <c r="K35" s="32"/>
      <c r="U35" s="30">
        <v>1989</v>
      </c>
    </row>
    <row r="36" spans="1:21" x14ac:dyDescent="0.35">
      <c r="A36">
        <v>34</v>
      </c>
      <c r="B36" s="4" t="s">
        <v>66</v>
      </c>
      <c r="C36" s="5" t="s">
        <v>10</v>
      </c>
      <c r="D36" s="6" t="s">
        <v>11</v>
      </c>
      <c r="E36" s="7" t="s">
        <v>12</v>
      </c>
      <c r="F36" s="6" t="s">
        <v>49</v>
      </c>
      <c r="G36" s="41">
        <f t="shared" si="1"/>
        <v>38718</v>
      </c>
      <c r="H36" s="40"/>
      <c r="I36" s="26">
        <v>30.7580206089592</v>
      </c>
      <c r="J36" s="26">
        <v>-91.330842201326007</v>
      </c>
      <c r="U36" s="7">
        <v>2006</v>
      </c>
    </row>
    <row r="37" spans="1:21" x14ac:dyDescent="0.35">
      <c r="A37">
        <v>35</v>
      </c>
      <c r="B37" s="10" t="s">
        <v>67</v>
      </c>
      <c r="C37" s="11" t="s">
        <v>10</v>
      </c>
      <c r="D37" s="12" t="s">
        <v>11</v>
      </c>
      <c r="E37" s="13" t="s">
        <v>12</v>
      </c>
      <c r="F37" s="12" t="s">
        <v>49</v>
      </c>
      <c r="G37" s="42">
        <f t="shared" si="1"/>
        <v>39083</v>
      </c>
      <c r="H37" s="40"/>
      <c r="I37" s="26">
        <v>33.368978074150199</v>
      </c>
      <c r="J37" s="26">
        <v>-117.55450192528799</v>
      </c>
      <c r="U37" s="13">
        <v>2007</v>
      </c>
    </row>
    <row r="38" spans="1:21" x14ac:dyDescent="0.35">
      <c r="A38">
        <v>36</v>
      </c>
      <c r="B38" s="4" t="s">
        <v>68</v>
      </c>
      <c r="C38" s="5" t="s">
        <v>10</v>
      </c>
      <c r="D38" s="6" t="s">
        <v>11</v>
      </c>
      <c r="E38" s="7" t="s">
        <v>12</v>
      </c>
      <c r="F38" s="6" t="s">
        <v>49</v>
      </c>
      <c r="G38" s="41">
        <f t="shared" si="1"/>
        <v>37987</v>
      </c>
      <c r="H38" s="40"/>
      <c r="I38" s="26">
        <v>35.226857770419301</v>
      </c>
      <c r="J38" s="26">
        <v>-85.092100078441206</v>
      </c>
      <c r="U38" s="7">
        <v>2004</v>
      </c>
    </row>
    <row r="39" spans="1:21" x14ac:dyDescent="0.35">
      <c r="A39">
        <v>37</v>
      </c>
      <c r="B39" s="10" t="s">
        <v>69</v>
      </c>
      <c r="C39" s="11" t="s">
        <v>10</v>
      </c>
      <c r="D39" s="12" t="s">
        <v>11</v>
      </c>
      <c r="E39" s="13" t="s">
        <v>12</v>
      </c>
      <c r="F39" s="12" t="s">
        <v>49</v>
      </c>
      <c r="G39" s="42">
        <f t="shared" si="1"/>
        <v>33239</v>
      </c>
      <c r="H39" s="40"/>
      <c r="I39" s="26">
        <v>42.727175626406201</v>
      </c>
      <c r="J39" s="26">
        <v>-72.927176374613197</v>
      </c>
      <c r="U39" s="13">
        <v>1991</v>
      </c>
    </row>
    <row r="40" spans="1:21" x14ac:dyDescent="0.35">
      <c r="A40">
        <v>38</v>
      </c>
      <c r="B40" s="4" t="s">
        <v>70</v>
      </c>
      <c r="C40" s="5" t="s">
        <v>10</v>
      </c>
      <c r="D40" s="6" t="s">
        <v>11</v>
      </c>
      <c r="E40" s="7" t="s">
        <v>12</v>
      </c>
      <c r="F40" s="6" t="s">
        <v>71</v>
      </c>
      <c r="G40" s="7"/>
      <c r="H40" s="40"/>
      <c r="I40" s="26">
        <v>33.957740255895402</v>
      </c>
      <c r="J40" s="26">
        <v>-78.013293428207703</v>
      </c>
      <c r="U40" s="7"/>
    </row>
    <row r="41" spans="1:21" x14ac:dyDescent="0.35">
      <c r="A41">
        <v>39</v>
      </c>
      <c r="B41" s="10" t="s">
        <v>72</v>
      </c>
      <c r="C41" s="11" t="s">
        <v>10</v>
      </c>
      <c r="D41" s="12" t="s">
        <v>11</v>
      </c>
      <c r="E41" s="13" t="s">
        <v>12</v>
      </c>
      <c r="F41" s="12" t="s">
        <v>71</v>
      </c>
      <c r="G41" s="13"/>
      <c r="H41" s="40"/>
      <c r="I41" s="26">
        <v>42.076928766982199</v>
      </c>
      <c r="J41" s="26">
        <v>-89.280954324203194</v>
      </c>
      <c r="U41" s="13"/>
    </row>
    <row r="42" spans="1:21" x14ac:dyDescent="0.35">
      <c r="A42">
        <v>40</v>
      </c>
      <c r="B42" s="4" t="s">
        <v>73</v>
      </c>
      <c r="C42" s="5" t="s">
        <v>10</v>
      </c>
      <c r="D42" s="6" t="s">
        <v>11</v>
      </c>
      <c r="E42" s="7" t="s">
        <v>12</v>
      </c>
      <c r="F42" s="6" t="s">
        <v>71</v>
      </c>
      <c r="G42" s="7"/>
      <c r="H42" s="40"/>
      <c r="I42" s="26">
        <v>35.055109451198398</v>
      </c>
      <c r="J42" s="26">
        <v>-81.0756961632936</v>
      </c>
      <c r="U42" s="7"/>
    </row>
    <row r="43" spans="1:21" x14ac:dyDescent="0.35">
      <c r="A43">
        <v>41</v>
      </c>
      <c r="B43" s="10" t="s">
        <v>74</v>
      </c>
      <c r="C43" s="11" t="s">
        <v>10</v>
      </c>
      <c r="D43" s="12" t="s">
        <v>11</v>
      </c>
      <c r="E43" s="13" t="s">
        <v>12</v>
      </c>
      <c r="F43" s="12" t="s">
        <v>71</v>
      </c>
      <c r="G43" s="42">
        <f>DATE(U43,1,1)</f>
        <v>39448</v>
      </c>
      <c r="H43" s="40"/>
      <c r="I43" s="26">
        <v>35.211868787575497</v>
      </c>
      <c r="J43" s="26">
        <v>-120.855101776037</v>
      </c>
      <c r="U43" s="13">
        <v>2008</v>
      </c>
    </row>
    <row r="44" spans="1:21" x14ac:dyDescent="0.35">
      <c r="A44">
        <v>42</v>
      </c>
      <c r="B44" s="4" t="s">
        <v>75</v>
      </c>
      <c r="C44" s="5" t="s">
        <v>10</v>
      </c>
      <c r="D44" s="6" t="s">
        <v>11</v>
      </c>
      <c r="E44" s="7" t="s">
        <v>12</v>
      </c>
      <c r="F44" s="6" t="s">
        <v>71</v>
      </c>
      <c r="G44" s="7"/>
      <c r="H44" s="40"/>
      <c r="I44" s="26">
        <v>41.519172599297697</v>
      </c>
      <c r="J44" s="26">
        <v>-96.0756399556346</v>
      </c>
      <c r="U44" s="7"/>
    </row>
    <row r="45" spans="1:21" x14ac:dyDescent="0.35">
      <c r="A45">
        <v>43</v>
      </c>
      <c r="B45" s="10" t="s">
        <v>76</v>
      </c>
      <c r="C45" s="11" t="s">
        <v>10</v>
      </c>
      <c r="D45" s="12" t="s">
        <v>11</v>
      </c>
      <c r="E45" s="13" t="s">
        <v>12</v>
      </c>
      <c r="F45" s="12" t="s">
        <v>71</v>
      </c>
      <c r="G45" s="13"/>
      <c r="H45" s="40"/>
      <c r="I45" s="26">
        <v>43.277740442517199</v>
      </c>
      <c r="J45" s="26">
        <v>-77.309106507948698</v>
      </c>
      <c r="U45" s="13"/>
    </row>
    <row r="46" spans="1:21" x14ac:dyDescent="0.35">
      <c r="A46">
        <v>44</v>
      </c>
      <c r="B46" s="4" t="s">
        <v>77</v>
      </c>
      <c r="C46" s="5" t="s">
        <v>10</v>
      </c>
      <c r="D46" s="6" t="s">
        <v>11</v>
      </c>
      <c r="E46" s="7" t="s">
        <v>12</v>
      </c>
      <c r="F46" s="6" t="s">
        <v>71</v>
      </c>
      <c r="G46" s="7"/>
      <c r="H46" s="40"/>
      <c r="I46" s="26">
        <v>32.011548927746901</v>
      </c>
      <c r="J46" s="26">
        <v>-91.047898471157893</v>
      </c>
      <c r="U46" s="7"/>
    </row>
    <row r="47" spans="1:21" x14ac:dyDescent="0.35">
      <c r="A47">
        <v>45</v>
      </c>
      <c r="B47" s="10" t="s">
        <v>78</v>
      </c>
      <c r="C47" s="11" t="s">
        <v>10</v>
      </c>
      <c r="D47" s="12" t="s">
        <v>11</v>
      </c>
      <c r="E47" s="13" t="s">
        <v>12</v>
      </c>
      <c r="F47" s="12" t="s">
        <v>71</v>
      </c>
      <c r="G47" s="13"/>
      <c r="H47" s="40"/>
      <c r="I47" s="26">
        <v>39.462940641199701</v>
      </c>
      <c r="J47" s="26">
        <v>-75.535238193624807</v>
      </c>
      <c r="U47" s="13"/>
    </row>
    <row r="48" spans="1:21" x14ac:dyDescent="0.35">
      <c r="A48">
        <v>46</v>
      </c>
      <c r="B48" s="4" t="s">
        <v>79</v>
      </c>
      <c r="C48" s="5" t="s">
        <v>10</v>
      </c>
      <c r="D48" s="6" t="s">
        <v>11</v>
      </c>
      <c r="E48" s="7" t="s">
        <v>12</v>
      </c>
      <c r="F48" s="6" t="s">
        <v>71</v>
      </c>
      <c r="G48" s="7"/>
      <c r="H48" s="40"/>
      <c r="I48" s="26">
        <v>40.741492677046402</v>
      </c>
      <c r="J48" s="26">
        <v>-124.209076190044</v>
      </c>
      <c r="U48" s="7"/>
    </row>
    <row r="49" spans="1:21" x14ac:dyDescent="0.35">
      <c r="A49">
        <v>47</v>
      </c>
      <c r="B49" s="10" t="s">
        <v>80</v>
      </c>
      <c r="C49" s="11" t="s">
        <v>10</v>
      </c>
      <c r="D49" s="12" t="s">
        <v>11</v>
      </c>
      <c r="E49" s="13" t="s">
        <v>12</v>
      </c>
      <c r="F49" s="12" t="s">
        <v>71</v>
      </c>
      <c r="G49" s="13"/>
      <c r="H49" s="40"/>
      <c r="I49" s="26">
        <v>41.269698249327803</v>
      </c>
      <c r="J49" s="26">
        <v>-73.951823721837499</v>
      </c>
      <c r="U49" s="13"/>
    </row>
    <row r="50" spans="1:21" x14ac:dyDescent="0.35">
      <c r="A50">
        <v>48</v>
      </c>
      <c r="B50" s="4" t="s">
        <v>81</v>
      </c>
      <c r="C50" s="5" t="s">
        <v>10</v>
      </c>
      <c r="D50" s="6" t="s">
        <v>11</v>
      </c>
      <c r="E50" s="7" t="s">
        <v>12</v>
      </c>
      <c r="F50" s="6" t="s">
        <v>71</v>
      </c>
      <c r="G50" s="7"/>
      <c r="H50" s="40"/>
      <c r="I50" s="26">
        <v>44.342666830637903</v>
      </c>
      <c r="J50" s="26">
        <v>-87.535501582490795</v>
      </c>
      <c r="U50" s="7"/>
    </row>
    <row r="51" spans="1:21" x14ac:dyDescent="0.35">
      <c r="A51">
        <v>49</v>
      </c>
      <c r="B51" s="10" t="s">
        <v>82</v>
      </c>
      <c r="C51" s="11" t="s">
        <v>10</v>
      </c>
      <c r="D51" s="12" t="s">
        <v>11</v>
      </c>
      <c r="E51" s="13" t="s">
        <v>12</v>
      </c>
      <c r="F51" s="12" t="s">
        <v>71</v>
      </c>
      <c r="G51" s="13"/>
      <c r="H51" s="40"/>
      <c r="I51" s="26">
        <v>41.245931876440203</v>
      </c>
      <c r="J51" s="26">
        <v>-88.668465341983193</v>
      </c>
      <c r="U51" s="13"/>
    </row>
    <row r="52" spans="1:21" x14ac:dyDescent="0.35">
      <c r="A52">
        <v>50</v>
      </c>
      <c r="B52" s="4" t="s">
        <v>83</v>
      </c>
      <c r="C52" s="5" t="s">
        <v>10</v>
      </c>
      <c r="D52" s="6" t="s">
        <v>11</v>
      </c>
      <c r="E52" s="7" t="s">
        <v>12</v>
      </c>
      <c r="F52" s="6" t="s">
        <v>71</v>
      </c>
      <c r="G52" s="7"/>
      <c r="H52" s="40"/>
      <c r="I52" s="26">
        <v>40.225655168735997</v>
      </c>
      <c r="J52" s="26">
        <v>-75.585922576573395</v>
      </c>
      <c r="U52" s="7"/>
    </row>
    <row r="53" spans="1:21" x14ac:dyDescent="0.35">
      <c r="A53">
        <v>51</v>
      </c>
      <c r="B53" s="10" t="s">
        <v>84</v>
      </c>
      <c r="C53" s="11" t="s">
        <v>10</v>
      </c>
      <c r="D53" s="12" t="s">
        <v>11</v>
      </c>
      <c r="E53" s="13" t="s">
        <v>12</v>
      </c>
      <c r="F53" s="12" t="s">
        <v>71</v>
      </c>
      <c r="G53" s="13"/>
      <c r="H53" s="40"/>
      <c r="I53" s="26">
        <v>42.899035743031099</v>
      </c>
      <c r="J53" s="26">
        <v>-70.852661198531294</v>
      </c>
      <c r="U53" s="13"/>
    </row>
    <row r="54" spans="1:21" x14ac:dyDescent="0.35">
      <c r="A54">
        <v>52</v>
      </c>
      <c r="B54" s="4" t="s">
        <v>85</v>
      </c>
      <c r="C54" s="5" t="s">
        <v>10</v>
      </c>
      <c r="D54" s="6" t="s">
        <v>11</v>
      </c>
      <c r="E54" s="7" t="s">
        <v>12</v>
      </c>
      <c r="F54" s="6" t="s">
        <v>71</v>
      </c>
      <c r="G54" s="7"/>
      <c r="H54" s="40"/>
      <c r="I54" s="26">
        <v>27.3474552524881</v>
      </c>
      <c r="J54" s="26">
        <v>-80.244391019174003</v>
      </c>
      <c r="U54" s="7"/>
    </row>
    <row r="55" spans="1:21" x14ac:dyDescent="0.35">
      <c r="A55">
        <v>53</v>
      </c>
      <c r="B55" s="10" t="s">
        <v>86</v>
      </c>
      <c r="C55" s="11" t="s">
        <v>10</v>
      </c>
      <c r="D55" s="12" t="s">
        <v>11</v>
      </c>
      <c r="E55" s="13" t="s">
        <v>12</v>
      </c>
      <c r="F55" s="12" t="s">
        <v>71</v>
      </c>
      <c r="G55" s="13"/>
      <c r="H55" s="40"/>
      <c r="I55" s="26">
        <v>42.779157092052898</v>
      </c>
      <c r="J55" s="26">
        <v>-72.512909443928805</v>
      </c>
      <c r="U55" s="13"/>
    </row>
    <row r="56" spans="1:21" x14ac:dyDescent="0.35">
      <c r="A56">
        <v>54</v>
      </c>
      <c r="B56" s="4" t="s">
        <v>87</v>
      </c>
      <c r="C56" s="5" t="s">
        <v>10</v>
      </c>
      <c r="D56" s="6" t="s">
        <v>88</v>
      </c>
      <c r="E56" s="7" t="s">
        <v>12</v>
      </c>
      <c r="F56" s="6" t="s">
        <v>89</v>
      </c>
      <c r="G56" s="7"/>
      <c r="H56" s="40"/>
      <c r="I56" s="37"/>
      <c r="J56" s="37"/>
      <c r="U56" s="7"/>
    </row>
    <row r="57" spans="1:21" x14ac:dyDescent="0.35">
      <c r="A57">
        <v>55</v>
      </c>
      <c r="B57" s="10" t="s">
        <v>90</v>
      </c>
      <c r="C57" s="11" t="s">
        <v>10</v>
      </c>
      <c r="D57" s="12" t="s">
        <v>88</v>
      </c>
      <c r="E57" s="13" t="s">
        <v>39</v>
      </c>
      <c r="F57" s="12" t="s">
        <v>91</v>
      </c>
      <c r="G57" s="13"/>
      <c r="H57" s="40"/>
      <c r="I57" s="11"/>
      <c r="J57" s="21"/>
      <c r="K57" t="s">
        <v>119</v>
      </c>
      <c r="U57" s="13"/>
    </row>
    <row r="58" spans="1:21" x14ac:dyDescent="0.35">
      <c r="A58">
        <v>56</v>
      </c>
      <c r="B58" s="4" t="s">
        <v>92</v>
      </c>
      <c r="C58" s="5" t="s">
        <v>10</v>
      </c>
      <c r="D58" s="6" t="s">
        <v>88</v>
      </c>
      <c r="E58" s="7" t="s">
        <v>12</v>
      </c>
      <c r="F58" s="6" t="s">
        <v>71</v>
      </c>
      <c r="G58" s="7"/>
      <c r="H58" s="40"/>
      <c r="I58" s="26">
        <v>40.362371196332099</v>
      </c>
      <c r="J58" s="26">
        <v>-95.641034418172296</v>
      </c>
      <c r="U58" s="7"/>
    </row>
    <row r="59" spans="1:21" x14ac:dyDescent="0.35">
      <c r="A59">
        <v>57</v>
      </c>
      <c r="B59" s="10" t="s">
        <v>93</v>
      </c>
      <c r="C59" s="11" t="s">
        <v>10</v>
      </c>
      <c r="D59" s="12" t="s">
        <v>88</v>
      </c>
      <c r="E59" s="13" t="s">
        <v>12</v>
      </c>
      <c r="F59" s="12" t="s">
        <v>94</v>
      </c>
      <c r="G59" s="13"/>
      <c r="H59" s="40"/>
      <c r="I59" s="37"/>
      <c r="J59" s="37"/>
      <c r="U59" s="13"/>
    </row>
    <row r="60" spans="1:21" x14ac:dyDescent="0.35">
      <c r="A60">
        <v>58</v>
      </c>
      <c r="B60" s="4" t="s">
        <v>95</v>
      </c>
      <c r="C60" s="5" t="s">
        <v>10</v>
      </c>
      <c r="D60" s="6" t="s">
        <v>96</v>
      </c>
      <c r="E60" s="7" t="s">
        <v>39</v>
      </c>
      <c r="F60" s="6" t="s">
        <v>97</v>
      </c>
      <c r="G60" s="41">
        <f>DATE(U60,1,1)</f>
        <v>37622</v>
      </c>
      <c r="H60" s="40"/>
      <c r="I60" s="5"/>
      <c r="J60" s="20"/>
      <c r="K60" t="s">
        <v>117</v>
      </c>
      <c r="U60" s="7">
        <v>2003</v>
      </c>
    </row>
    <row r="61" spans="1:21" x14ac:dyDescent="0.35">
      <c r="A61">
        <v>59</v>
      </c>
      <c r="B61" s="10" t="s">
        <v>98</v>
      </c>
      <c r="C61" s="11" t="s">
        <v>10</v>
      </c>
      <c r="D61" s="12" t="s">
        <v>96</v>
      </c>
      <c r="E61" s="13" t="s">
        <v>12</v>
      </c>
      <c r="F61" s="12" t="s">
        <v>89</v>
      </c>
      <c r="G61" s="42">
        <f>DATE(U61,1,1)</f>
        <v>44562</v>
      </c>
      <c r="H61" s="40"/>
      <c r="I61" s="37"/>
      <c r="J61" s="37"/>
      <c r="U61" s="13">
        <v>2022</v>
      </c>
    </row>
    <row r="62" spans="1:21" x14ac:dyDescent="0.35">
      <c r="A62">
        <v>60</v>
      </c>
      <c r="B62" s="4" t="s">
        <v>99</v>
      </c>
      <c r="C62" s="5" t="s">
        <v>100</v>
      </c>
      <c r="D62" s="6" t="s">
        <v>101</v>
      </c>
      <c r="E62" s="7" t="s">
        <v>12</v>
      </c>
      <c r="F62" s="6" t="s">
        <v>102</v>
      </c>
      <c r="G62" s="41">
        <f>DATE(U62,1,1)</f>
        <v>24108</v>
      </c>
      <c r="H62" s="40"/>
      <c r="I62" s="39">
        <v>42.449717543312701</v>
      </c>
      <c r="J62" s="39">
        <v>-78.6559727066698</v>
      </c>
      <c r="U62" s="7">
        <v>1966</v>
      </c>
    </row>
    <row r="63" spans="1:21" x14ac:dyDescent="0.35">
      <c r="A63">
        <v>61</v>
      </c>
      <c r="B63" s="10" t="s">
        <v>103</v>
      </c>
      <c r="C63" s="11" t="s">
        <v>100</v>
      </c>
      <c r="D63" s="12" t="s">
        <v>11</v>
      </c>
      <c r="E63" s="13" t="s">
        <v>12</v>
      </c>
      <c r="F63" s="12" t="s">
        <v>104</v>
      </c>
      <c r="G63" s="42">
        <f>DATE(U63,1,1)</f>
        <v>30682</v>
      </c>
      <c r="H63" s="40"/>
      <c r="I63" s="11">
        <v>41.381115036351602</v>
      </c>
      <c r="J63" s="21">
        <v>-88.276968532313504</v>
      </c>
      <c r="U63" s="13">
        <v>1984</v>
      </c>
    </row>
    <row r="64" spans="1:21" x14ac:dyDescent="0.35">
      <c r="A64">
        <v>62</v>
      </c>
      <c r="B64" s="4" t="s">
        <v>105</v>
      </c>
      <c r="C64" s="5" t="s">
        <v>100</v>
      </c>
      <c r="D64" s="6" t="s">
        <v>11</v>
      </c>
      <c r="E64" s="7" t="s">
        <v>39</v>
      </c>
      <c r="F64" s="6" t="s">
        <v>15</v>
      </c>
      <c r="G64" s="41">
        <f>DATE(U64,1,1)</f>
        <v>18994</v>
      </c>
      <c r="H64" s="40"/>
      <c r="I64" s="5"/>
      <c r="J64" s="20"/>
      <c r="K64" t="s">
        <v>114</v>
      </c>
      <c r="U64" s="7">
        <v>1952</v>
      </c>
    </row>
    <row r="65" spans="1:21" x14ac:dyDescent="0.35">
      <c r="A65">
        <v>63</v>
      </c>
      <c r="B65" s="10" t="s">
        <v>106</v>
      </c>
      <c r="C65" s="11" t="s">
        <v>100</v>
      </c>
      <c r="D65" s="12" t="s">
        <v>11</v>
      </c>
      <c r="E65" s="13" t="s">
        <v>39</v>
      </c>
      <c r="F65" s="12" t="s">
        <v>15</v>
      </c>
      <c r="G65" s="13"/>
      <c r="H65" s="40"/>
      <c r="I65" s="11"/>
      <c r="J65" s="21"/>
      <c r="K65" t="s">
        <v>118</v>
      </c>
      <c r="U65" s="13"/>
    </row>
    <row r="66" spans="1:21" x14ac:dyDescent="0.35">
      <c r="A66">
        <v>64</v>
      </c>
      <c r="B66" s="4" t="s">
        <v>107</v>
      </c>
      <c r="C66" s="5" t="s">
        <v>100</v>
      </c>
      <c r="D66" s="6" t="s">
        <v>11</v>
      </c>
      <c r="E66" s="7" t="s">
        <v>39</v>
      </c>
      <c r="F66" s="6" t="s">
        <v>108</v>
      </c>
      <c r="G66" s="41">
        <f>DATE(U66,1,1)</f>
        <v>18264</v>
      </c>
      <c r="H66" s="40"/>
      <c r="I66" s="5"/>
      <c r="J66" s="20"/>
      <c r="K66" t="s">
        <v>117</v>
      </c>
      <c r="U66" s="7">
        <v>1950</v>
      </c>
    </row>
    <row r="67" spans="1:21" x14ac:dyDescent="0.35">
      <c r="A67">
        <v>65</v>
      </c>
      <c r="B67" s="4" t="s">
        <v>109</v>
      </c>
      <c r="C67" s="5" t="s">
        <v>10</v>
      </c>
      <c r="D67" s="6" t="s">
        <v>88</v>
      </c>
      <c r="E67" s="7" t="s">
        <v>12</v>
      </c>
      <c r="F67" s="6" t="s">
        <v>110</v>
      </c>
      <c r="G67" s="7"/>
      <c r="H67" s="40"/>
      <c r="I67" s="37"/>
      <c r="J67" s="38"/>
      <c r="U67" s="7"/>
    </row>
    <row r="68" spans="1:21" x14ac:dyDescent="0.35">
      <c r="A68">
        <v>66</v>
      </c>
      <c r="B68" s="22" t="s">
        <v>111</v>
      </c>
      <c r="C68" s="23" t="s">
        <v>100</v>
      </c>
      <c r="D68" s="24" t="s">
        <v>11</v>
      </c>
      <c r="E68" s="25" t="s">
        <v>12</v>
      </c>
      <c r="F68" s="24" t="s">
        <v>71</v>
      </c>
      <c r="G68" s="25"/>
      <c r="H68" s="40"/>
      <c r="I68" s="26">
        <v>43.560155230694498</v>
      </c>
      <c r="J68" s="26">
        <v>-91.2318090764972</v>
      </c>
      <c r="U68" s="7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2025-06-20T19:18:59Z</dcterms:modified>
</cp:coreProperties>
</file>