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mc:AlternateContent xmlns:mc="http://schemas.openxmlformats.org/markup-compatibility/2006">
    <mc:Choice Requires="x15">
      <x15ac:absPath xmlns:x15ac="http://schemas.microsoft.com/office/spreadsheetml/2010/11/ac" url="C:\Users\rjf\Desktop\Research\Fuel Cycle Analysis\facility_data\frontend\IAEA_Updating\"/>
    </mc:Choice>
  </mc:AlternateContent>
  <xr:revisionPtr revIDLastSave="0" documentId="13_ncr:1_{50973F5D-569C-46DD-BCCF-7935CC14606E}" xr6:coauthVersionLast="47" xr6:coauthVersionMax="47" xr10:uidLastSave="{00000000-0000-0000-0000-000000000000}"/>
  <bookViews>
    <workbookView xWindow="-110" yWindow="-110" windowWidth="22620" windowHeight="13500" xr2:uid="{00000000-000D-0000-FFFF-FFFF00000000}"/>
  </bookViews>
  <sheets>
    <sheet name="IAEA Facility List Mark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0"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15404</author>
    <author>tc={AED877AE-6109-4901-B9A3-94F3E67DAA68}</author>
    <author>tc={C489A2D6-CC00-4BB1-97D1-97B0F408D115}</author>
  </authors>
  <commentList>
    <comment ref="L30" authorId="0" shapeId="0" xr:uid="{8E096AD1-24DB-4806-B0A1-60CF21F9506C}">
      <text>
        <r>
          <rPr>
            <b/>
            <sz val="9"/>
            <color indexed="81"/>
            <rFont val="Tahoma"/>
            <family val="2"/>
          </rPr>
          <t>15404:</t>
        </r>
        <r>
          <rPr>
            <sz val="9"/>
            <color indexed="81"/>
            <rFont val="Tahoma"/>
            <family val="2"/>
          </rPr>
          <t xml:space="preserve">
not confident in this</t>
        </r>
      </text>
    </comment>
    <comment ref="C31" authorId="0" shapeId="0" xr:uid="{04061DCC-AAC8-4168-8B60-C4AA94D6DA42}">
      <text>
        <r>
          <rPr>
            <b/>
            <sz val="9"/>
            <color indexed="81"/>
            <rFont val="Tahoma"/>
            <family val="2"/>
          </rPr>
          <t>15404:</t>
        </r>
        <r>
          <rPr>
            <sz val="9"/>
            <color indexed="81"/>
            <rFont val="Tahoma"/>
            <family val="2"/>
          </rPr>
          <t xml:space="preserve">
I'm not really sure what the deal is here. The only references I've found is that this plant was as a DU munitions manufacturing facility</t>
        </r>
      </text>
    </comment>
    <comment ref="G39" authorId="0" shapeId="0" xr:uid="{D4BAB4DF-3CD3-4FA9-BC03-28DFA70E987C}">
      <text>
        <r>
          <rPr>
            <b/>
            <sz val="9"/>
            <color indexed="81"/>
            <rFont val="Tahoma"/>
            <charset val="1"/>
          </rPr>
          <t>15404:</t>
        </r>
        <r>
          <rPr>
            <sz val="9"/>
            <color indexed="81"/>
            <rFont val="Tahoma"/>
            <charset val="1"/>
          </rPr>
          <t xml:space="preserve">
License terminated in 2018
</t>
        </r>
      </text>
    </comment>
    <comment ref="C40" authorId="0" shapeId="0" xr:uid="{82FFCDCD-FDEC-4B3F-BC4C-8F4663DDA300}">
      <text>
        <r>
          <rPr>
            <b/>
            <sz val="9"/>
            <color indexed="81"/>
            <rFont val="Tahoma"/>
            <family val="2"/>
          </rPr>
          <t>15404:</t>
        </r>
        <r>
          <rPr>
            <sz val="9"/>
            <color indexed="81"/>
            <rFont val="Tahoma"/>
            <family val="2"/>
          </rPr>
          <t xml:space="preserve">
Now operated by BWXT, but for defense</t>
        </r>
      </text>
    </comment>
    <comment ref="H51" authorId="0" shapeId="0" xr:uid="{B9F2FE8F-3873-4B1D-B59C-B32F217D1AD5}">
      <text>
        <r>
          <rPr>
            <b/>
            <sz val="9"/>
            <color indexed="81"/>
            <rFont val="Tahoma"/>
            <family val="2"/>
          </rPr>
          <t>15404:</t>
        </r>
        <r>
          <rPr>
            <sz val="9"/>
            <color indexed="81"/>
            <rFont val="Tahoma"/>
            <family val="2"/>
          </rPr>
          <t xml:space="preserve">
No evidence this was used for commercial operation</t>
        </r>
      </text>
    </comment>
    <comment ref="H52" authorId="0" shapeId="0" xr:uid="{408B9D57-49F6-43A9-B00C-9922C2485E5C}">
      <text>
        <r>
          <rPr>
            <b/>
            <sz val="9"/>
            <color indexed="81"/>
            <rFont val="Tahoma"/>
            <charset val="1"/>
          </rPr>
          <t>15404:</t>
        </r>
        <r>
          <rPr>
            <sz val="9"/>
            <color indexed="81"/>
            <rFont val="Tahoma"/>
            <charset val="1"/>
          </rPr>
          <t xml:space="preserve">
DOE Facility in SRS, most closely aligned with a lab</t>
        </r>
      </text>
    </comment>
    <comment ref="K52" authorId="0" shapeId="0" xr:uid="{8D573EF6-DBF7-4C2C-B725-F73CA6A330B8}">
      <text>
        <r>
          <rPr>
            <b/>
            <sz val="9"/>
            <color indexed="81"/>
            <rFont val="Tahoma"/>
            <family val="2"/>
          </rPr>
          <t>15404:</t>
        </r>
        <r>
          <rPr>
            <sz val="9"/>
            <color indexed="81"/>
            <rFont val="Tahoma"/>
            <family val="2"/>
          </rPr>
          <t xml:space="preserve">
Still operating</t>
        </r>
      </text>
    </comment>
    <comment ref="J56" authorId="0" shapeId="0" xr:uid="{A5955077-4531-4D87-95A3-2C53B9312727}">
      <text>
        <r>
          <rPr>
            <b/>
            <sz val="9"/>
            <color indexed="81"/>
            <rFont val="Tahoma"/>
            <family val="2"/>
          </rPr>
          <t>15404:</t>
        </r>
        <r>
          <rPr>
            <sz val="9"/>
            <color indexed="81"/>
            <rFont val="Tahoma"/>
            <family val="2"/>
          </rPr>
          <t xml:space="preserve">
Mound Laboratory operated from 1948-1989 at the latest</t>
        </r>
      </text>
    </comment>
    <comment ref="C64" authorId="1" shapeId="0" xr:uid="{AED877AE-6109-4901-B9A3-94F3E67DAA68}">
      <text>
        <t>[Threaded comment]
Your version of Excel allows you to read this threaded comment; however, any edits to it will get removed if the file is opened in a newer version of Excel. Learn more: https://go.microsoft.com/fwlink/?linkid=870924
Comment:
    Note: This project was operated by Louisiana Energy Services (LES) until they were bought by Urenco. LES was rying to obtain a license for Claiborne in LA, where their license was actually rejected, rather than terminated</t>
      </text>
    </comment>
    <comment ref="G69" authorId="0" shapeId="0" xr:uid="{47A54B97-B2F4-424A-90FA-95BFF014F334}">
      <text>
        <r>
          <rPr>
            <b/>
            <sz val="9"/>
            <color indexed="81"/>
            <rFont val="Tahoma"/>
            <family val="2"/>
          </rPr>
          <t>15404:</t>
        </r>
        <r>
          <rPr>
            <sz val="9"/>
            <color indexed="81"/>
            <rFont val="Tahoma"/>
            <family val="2"/>
          </rPr>
          <t xml:space="preserve">
I don't think any mining ever occurred here, but it passed hands between Kerr-McGee and TVA to enCore</t>
        </r>
      </text>
    </comment>
    <comment ref="C77" authorId="2" shapeId="0" xr:uid="{C489A2D6-CC00-4BB1-97D1-97B0F408D115}">
      <text>
        <t>[Threaded comment]
Your version of Excel allows you to read this threaded comment; however, any edits to it will get removed if the file is opened in a newer version of Excel. Learn more: https://go.microsoft.com/fwlink/?linkid=870924
Comment:
    There is another church rock (ISR) that is permitted but is not producing anything</t>
      </text>
    </comment>
    <comment ref="C78" authorId="0" shapeId="0" xr:uid="{4F604FC2-F2BD-407D-8321-4EAA7C3396B2}">
      <text>
        <r>
          <rPr>
            <b/>
            <sz val="9"/>
            <color indexed="81"/>
            <rFont val="Tahoma"/>
            <family val="2"/>
          </rPr>
          <t>15404:</t>
        </r>
        <r>
          <rPr>
            <sz val="9"/>
            <color indexed="81"/>
            <rFont val="Tahoma"/>
            <family val="2"/>
          </rPr>
          <t xml:space="preserve">
Midnite Mine transferred its ore to Dawn Mill 5 miles east. As midnite is its own mine, and not a mill, I'm recommending to remove that site and add Dawn instead</t>
        </r>
      </text>
    </comment>
    <comment ref="C88" authorId="0" shapeId="0" xr:uid="{CEBF55B7-5C2B-4C5F-943C-623822B21CA6}">
      <text>
        <r>
          <rPr>
            <b/>
            <sz val="9"/>
            <color indexed="81"/>
            <rFont val="Tahoma"/>
            <family val="2"/>
          </rPr>
          <t>15404:</t>
        </r>
        <r>
          <rPr>
            <sz val="9"/>
            <color indexed="81"/>
            <rFont val="Tahoma"/>
            <family val="2"/>
          </rPr>
          <t xml:space="preserve">
The original entry for this was for Cameco, but I think that was mixed up. Smith Ranch-Highland is one place, operated by Cameco. Highland was nearby but a distinct mill, operated by Exxon</t>
        </r>
      </text>
    </comment>
    <comment ref="C100" authorId="0" shapeId="0" xr:uid="{16EEFA9D-065C-4E3D-9874-244C554D5664}">
      <text>
        <r>
          <rPr>
            <b/>
            <sz val="9"/>
            <color indexed="81"/>
            <rFont val="Tahoma"/>
            <family val="2"/>
          </rPr>
          <t>15404:</t>
        </r>
        <r>
          <rPr>
            <sz val="9"/>
            <color indexed="81"/>
            <rFont val="Tahoma"/>
            <family val="2"/>
          </rPr>
          <t xml:space="preserve">
There is New Rifle and Old Rifle, which I do not think operated at the same time, and were only about 2 miles from each other</t>
        </r>
      </text>
    </comment>
    <comment ref="C104" authorId="0" shapeId="0" xr:uid="{715BD4CB-D46C-4A8D-82F5-EC4EDE945958}">
      <text>
        <r>
          <rPr>
            <b/>
            <sz val="9"/>
            <color indexed="81"/>
            <rFont val="Tahoma"/>
            <family val="2"/>
          </rPr>
          <t>15404:</t>
        </r>
        <r>
          <rPr>
            <sz val="9"/>
            <color indexed="81"/>
            <rFont val="Tahoma"/>
            <family val="2"/>
          </rPr>
          <t xml:space="preserve">
I'm not actually sure what's going on between this and Pathfinder. I'm seeing records of both operational at the same time in the same place. Not a problem but worth a second look to see if anything is missing</t>
        </r>
      </text>
    </comment>
    <comment ref="C115" authorId="0" shapeId="0" xr:uid="{B6057101-4669-4E79-8833-AE849982743E}">
      <text>
        <r>
          <rPr>
            <b/>
            <sz val="9"/>
            <color indexed="81"/>
            <rFont val="Tahoma"/>
            <family val="2"/>
          </rPr>
          <t>15404:</t>
        </r>
        <r>
          <rPr>
            <sz val="9"/>
            <color indexed="81"/>
            <rFont val="Tahoma"/>
            <family val="2"/>
          </rPr>
          <t xml:space="preserve">
Central hub to Christensen, Reno, Moore Ranch, and Ludeman
https://www.uraniumenergy.com/projects/wyoming/</t>
        </r>
      </text>
    </comment>
    <comment ref="C116" authorId="0" shapeId="0" xr:uid="{89C12F51-A6FB-4E69-9D4E-5E08BD6EF1FB}">
      <text>
        <r>
          <rPr>
            <b/>
            <sz val="9"/>
            <color indexed="81"/>
            <rFont val="Tahoma"/>
            <family val="2"/>
          </rPr>
          <t>15404:</t>
        </r>
        <r>
          <rPr>
            <sz val="9"/>
            <color indexed="81"/>
            <rFont val="Tahoma"/>
            <family val="2"/>
          </rPr>
          <t xml:space="preserve">
</t>
        </r>
      </text>
    </comment>
    <comment ref="C117" authorId="0" shapeId="0" xr:uid="{46940356-F213-4A2F-BB77-077A4BCE42DF}">
      <text>
        <r>
          <rPr>
            <b/>
            <sz val="9"/>
            <color indexed="81"/>
            <rFont val="Tahoma"/>
            <family val="2"/>
          </rPr>
          <t>15404:</t>
        </r>
        <r>
          <rPr>
            <sz val="9"/>
            <color indexed="81"/>
            <rFont val="Tahoma"/>
            <family val="2"/>
          </rPr>
          <t xml:space="preserve">
Central hub to Goliad, Palangana, and Burke Hollow
https://www.uraniumenergy.com/projects/texas/</t>
        </r>
      </text>
    </comment>
    <comment ref="E125" authorId="0" shapeId="0" xr:uid="{4E5DF58F-4FE9-44AA-A70E-E8433CBF7FC7}">
      <text>
        <r>
          <rPr>
            <b/>
            <sz val="9"/>
            <color indexed="81"/>
            <rFont val="Tahoma"/>
            <family val="2"/>
          </rPr>
          <t>15404:</t>
        </r>
        <r>
          <rPr>
            <sz val="9"/>
            <color indexed="81"/>
            <rFont val="Tahoma"/>
            <family val="2"/>
          </rPr>
          <t xml:space="preserve">
IAEA says this was among the first ISR plants</t>
        </r>
      </text>
    </comment>
    <comment ref="G128" authorId="0" shapeId="0" xr:uid="{913BA64C-07A2-43A0-8EFB-9E1301B9B218}">
      <text>
        <r>
          <rPr>
            <b/>
            <sz val="9"/>
            <color indexed="81"/>
            <rFont val="Tahoma"/>
            <family val="2"/>
          </rPr>
          <t>15404:</t>
        </r>
        <r>
          <rPr>
            <sz val="9"/>
            <color indexed="81"/>
            <rFont val="Tahoma"/>
            <family val="2"/>
          </rPr>
          <t xml:space="preserve">
TX Record says this site never had production</t>
        </r>
      </text>
    </comment>
    <comment ref="G130" authorId="0" shapeId="0" xr:uid="{5D57810B-26F4-4677-B06B-D9D8F2603D41}">
      <text>
        <r>
          <rPr>
            <b/>
            <sz val="9"/>
            <color indexed="81"/>
            <rFont val="Tahoma"/>
            <family val="2"/>
          </rPr>
          <t>15404:</t>
        </r>
        <r>
          <rPr>
            <sz val="9"/>
            <color indexed="81"/>
            <rFont val="Tahoma"/>
            <family val="2"/>
          </rPr>
          <t xml:space="preserve">
I don't have any concrete documentation for this but it seems like it was cancelled bc of concerns for local sage grouse populations. Was operated by Rosatom, who lost control once Uone was bought by UEC</t>
        </r>
      </text>
    </comment>
    <comment ref="G147" authorId="0" shapeId="0" xr:uid="{41F66ECB-CEA4-408A-A1F9-05490DF04DD1}">
      <text>
        <r>
          <rPr>
            <b/>
            <sz val="9"/>
            <color indexed="81"/>
            <rFont val="Tahoma"/>
            <family val="2"/>
          </rPr>
          <t>15404:</t>
        </r>
        <r>
          <rPr>
            <sz val="9"/>
            <color indexed="81"/>
            <rFont val="Tahoma"/>
            <family val="2"/>
          </rPr>
          <t xml:space="preserve">
Could not find evidence of milling, just mines from 1954-1972</t>
        </r>
      </text>
    </comment>
  </commentList>
</comments>
</file>

<file path=xl/sharedStrings.xml><?xml version="1.0" encoding="utf-8"?>
<sst xmlns="http://schemas.openxmlformats.org/spreadsheetml/2006/main" count="968" uniqueCount="358">
  <si>
    <t>Filters</t>
  </si>
  <si>
    <t>Country</t>
  </si>
  <si>
    <t>United States of America</t>
  </si>
  <si>
    <t>Facility Type</t>
  </si>
  <si>
    <t>All</t>
  </si>
  <si>
    <t>Facility Status</t>
  </si>
  <si>
    <t>Facility Scale</t>
  </si>
  <si>
    <t>Search Text</t>
  </si>
  <si>
    <t/>
  </si>
  <si>
    <t>Facility Name</t>
  </si>
  <si>
    <t>Fuel Type</t>
  </si>
  <si>
    <t>Scale</t>
  </si>
  <si>
    <t>Design Capacity</t>
  </si>
  <si>
    <t>Start of Operation</t>
  </si>
  <si>
    <t>End of Operation</t>
  </si>
  <si>
    <t>In Operation</t>
  </si>
  <si>
    <t>Commercial</t>
  </si>
  <si>
    <t>Apollo</t>
  </si>
  <si>
    <t>Fuel Fabrication (U Pellet, Pin, FA)</t>
  </si>
  <si>
    <t>Fuel for FBR</t>
  </si>
  <si>
    <t>Decommissioned</t>
  </si>
  <si>
    <t>360 t HM/year</t>
  </si>
  <si>
    <t>Bear Creek</t>
  </si>
  <si>
    <t>Uranium Ore Processing</t>
  </si>
  <si>
    <t>Laboratory</t>
  </si>
  <si>
    <t>400 t U/year</t>
  </si>
  <si>
    <t>Bluewater</t>
  </si>
  <si>
    <t>0 t U/year</t>
  </si>
  <si>
    <t>Bruni</t>
  </si>
  <si>
    <t>330 t U/year</t>
  </si>
  <si>
    <t>Burns</t>
  </si>
  <si>
    <t>Canon City-I</t>
  </si>
  <si>
    <t>300 t U/year</t>
  </si>
  <si>
    <t>L-Bar</t>
  </si>
  <si>
    <t>1000 t U/year</t>
  </si>
  <si>
    <t>Christensen Ranch</t>
  </si>
  <si>
    <t>Stand By</t>
  </si>
  <si>
    <t>250 t U/year</t>
  </si>
  <si>
    <t>Clay West</t>
  </si>
  <si>
    <t>Columbia Fuel Fabrication Facility</t>
  </si>
  <si>
    <t>UOX for PWR</t>
  </si>
  <si>
    <t>1350 t U/year</t>
  </si>
  <si>
    <t>Faustina (Agrico)</t>
  </si>
  <si>
    <t>Uranium Recovery from Phosphates</t>
  </si>
  <si>
    <t>181 t U/year</t>
  </si>
  <si>
    <t>Falls City</t>
  </si>
  <si>
    <t>Gas Hills / American Nuclear</t>
  </si>
  <si>
    <t>Sequoyah Facility</t>
  </si>
  <si>
    <t>Conversion to UF6</t>
  </si>
  <si>
    <t>Shutdown</t>
  </si>
  <si>
    <t>9090 t HM/year</t>
  </si>
  <si>
    <t>Hematite (ABB-CE)</t>
  </si>
  <si>
    <t>UOX for PWR, UOX for BWR</t>
  </si>
  <si>
    <t>Decommissioning</t>
  </si>
  <si>
    <t>450 t HM/year</t>
  </si>
  <si>
    <t>Hobson</t>
  </si>
  <si>
    <t>385 t U/year</t>
  </si>
  <si>
    <t>Grants</t>
  </si>
  <si>
    <t>130 t U/year</t>
  </si>
  <si>
    <t>Split Rock</t>
  </si>
  <si>
    <t>Kingsville Dome</t>
  </si>
  <si>
    <t>Las Palmas</t>
  </si>
  <si>
    <t>Lisbon</t>
  </si>
  <si>
    <t>350 t U/year</t>
  </si>
  <si>
    <t>Lucky Mc (Pathfinder)</t>
  </si>
  <si>
    <t>710 t U/year</t>
  </si>
  <si>
    <t>400 t HM/year</t>
  </si>
  <si>
    <t>Metropolis Conversion Facility</t>
  </si>
  <si>
    <t>7000 t U/year</t>
  </si>
  <si>
    <t>Moab</t>
  </si>
  <si>
    <t>1500 t U/year</t>
  </si>
  <si>
    <t>Mt. Lucas</t>
  </si>
  <si>
    <t>100 t U/year</t>
  </si>
  <si>
    <t>Bartow Module</t>
  </si>
  <si>
    <t>200 t U/year</t>
  </si>
  <si>
    <t>Gas Hills / Umetco</t>
  </si>
  <si>
    <t>Oak Ridge K-25, Y-12</t>
  </si>
  <si>
    <t>Uranium Enrichment</t>
  </si>
  <si>
    <t>8500 MTSWU/year</t>
  </si>
  <si>
    <t>Paducah Gaseous Diffusion</t>
  </si>
  <si>
    <t>11300 MTSWU/year</t>
  </si>
  <si>
    <t>Palangana</t>
  </si>
  <si>
    <t>45 t U/year</t>
  </si>
  <si>
    <t>Panna Maria</t>
  </si>
  <si>
    <t>580 t U/year</t>
  </si>
  <si>
    <t>Shirley Basin / Pathfinder</t>
  </si>
  <si>
    <t>Plant City Module</t>
  </si>
  <si>
    <t>270 t U/year</t>
  </si>
  <si>
    <t>Portsmouth Gaseous Diffusion</t>
  </si>
  <si>
    <t>7400 MTSWU/year</t>
  </si>
  <si>
    <t>Sweetwater</t>
  </si>
  <si>
    <t>700 t U/year</t>
  </si>
  <si>
    <t>Rosita</t>
  </si>
  <si>
    <t>2116 t U/year</t>
  </si>
  <si>
    <t>Gruy Ranch (Satellite)</t>
  </si>
  <si>
    <t>380 t U/year</t>
  </si>
  <si>
    <t>Trevino</t>
  </si>
  <si>
    <t>150 t U/year</t>
  </si>
  <si>
    <t>Uncle Sam</t>
  </si>
  <si>
    <t>490 t U/year</t>
  </si>
  <si>
    <t>420 t U/year</t>
  </si>
  <si>
    <t>White Mesa Mill</t>
  </si>
  <si>
    <t>1200 t U/year</t>
  </si>
  <si>
    <t>Wilmington Facility</t>
  </si>
  <si>
    <t>UOX for BWR</t>
  </si>
  <si>
    <t>1200 t HM/year</t>
  </si>
  <si>
    <t>Zamzow</t>
  </si>
  <si>
    <t>60 t U/year</t>
  </si>
  <si>
    <t>Lawrence Livermore National Laboratory</t>
  </si>
  <si>
    <t>1 MTSWU/year</t>
  </si>
  <si>
    <t>Rhone Poulenc, Inc.</t>
  </si>
  <si>
    <t>15 t U/year</t>
  </si>
  <si>
    <t>Hansen</t>
  </si>
  <si>
    <t>Others</t>
  </si>
  <si>
    <t>Lamprecht</t>
  </si>
  <si>
    <t>Crow Butte</t>
  </si>
  <si>
    <t>Highland</t>
  </si>
  <si>
    <t>Holiday / El Mesquite</t>
  </si>
  <si>
    <t>West Cole</t>
  </si>
  <si>
    <t>80 t U/year</t>
  </si>
  <si>
    <t>Ambrosia Lake</t>
  </si>
  <si>
    <t>3300 t U/year</t>
  </si>
  <si>
    <t>Oak Ridge</t>
  </si>
  <si>
    <t>Spent Fuel Reprocessing - aqueous route</t>
  </si>
  <si>
    <t>150 t HM/year</t>
  </si>
  <si>
    <t>GE Morris</t>
  </si>
  <si>
    <t>300 t HM/year</t>
  </si>
  <si>
    <t>West Valley</t>
  </si>
  <si>
    <t>Barnwell</t>
  </si>
  <si>
    <t>1500 t HM/year</t>
  </si>
  <si>
    <t>New Wales Plant</t>
  </si>
  <si>
    <t>425 t U/year</t>
  </si>
  <si>
    <t>Alta Mesa</t>
  </si>
  <si>
    <t>Canon City</t>
  </si>
  <si>
    <t>210 t U/year</t>
  </si>
  <si>
    <t>Claiborne Enrichment Center</t>
  </si>
  <si>
    <t>1500 MTSWU/year</t>
  </si>
  <si>
    <t>Los Alamos Plutonium Facility</t>
  </si>
  <si>
    <t>0 t HM/year</t>
  </si>
  <si>
    <t>Savannah River (SRS)</t>
  </si>
  <si>
    <t>Idaho Chemical Processing Plant</t>
  </si>
  <si>
    <t>100 t HM/year</t>
  </si>
  <si>
    <t>Hanford</t>
  </si>
  <si>
    <t>Hanford - Plutonium Finishing Plant</t>
  </si>
  <si>
    <t>MOX fuel fabrication (Mox Powder, Pellet, Pin, FA)</t>
  </si>
  <si>
    <t>Hanford - B Plant</t>
  </si>
  <si>
    <t>2400 t HM/year</t>
  </si>
  <si>
    <t>Conversion to UO3</t>
  </si>
  <si>
    <t>Under Construction</t>
  </si>
  <si>
    <t>Fuels and Materials Examination Fac. (FMEF)</t>
  </si>
  <si>
    <t>Green River</t>
  </si>
  <si>
    <t>DeMOX - ToMOX</t>
  </si>
  <si>
    <t>Pilot plant</t>
  </si>
  <si>
    <t>70 t/year</t>
  </si>
  <si>
    <t>Re-conversion to UO2 Powder</t>
  </si>
  <si>
    <t>13500 t HM/year</t>
  </si>
  <si>
    <t>Paducah</t>
  </si>
  <si>
    <t>18000 t HM/year</t>
  </si>
  <si>
    <t>Plant 7 (Hex Reduction Plant)</t>
  </si>
  <si>
    <t>Conversion to UF4</t>
  </si>
  <si>
    <t>RMI Extrusion Plant</t>
  </si>
  <si>
    <t>DP West Plutonium Facility</t>
  </si>
  <si>
    <t>Uranium Manufacturing Facility - Compton</t>
  </si>
  <si>
    <t>Fuel Fabrication Facility Attleboro</t>
  </si>
  <si>
    <t>Uranium Fuel Fabrication Plant</t>
  </si>
  <si>
    <t>B212 Plutonium Glovebox</t>
  </si>
  <si>
    <t>Plutonium Fabrication Facility (Building 350)</t>
  </si>
  <si>
    <t>Uranium Fuel Fabrication Plant - San Jose</t>
  </si>
  <si>
    <t>Advanced Fuel Laboratory</t>
  </si>
  <si>
    <t>Nuclear Material Development Facility</t>
  </si>
  <si>
    <t>Nuclear Fuel Services</t>
  </si>
  <si>
    <t>Weldon Spring Site</t>
  </si>
  <si>
    <t>Conversion to UO2</t>
  </si>
  <si>
    <t>LANL TA-21</t>
  </si>
  <si>
    <t>Hanford T Plant Complex</t>
  </si>
  <si>
    <t>Hanford Redox Facility</t>
  </si>
  <si>
    <t>0 MTSWU/year</t>
  </si>
  <si>
    <t>Vasquez</t>
  </si>
  <si>
    <t>308 t U/year</t>
  </si>
  <si>
    <t>4800 MTSWU/year</t>
  </si>
  <si>
    <t>BWX Technology (BWXT) Fuel Facility</t>
  </si>
  <si>
    <t>Fuel Fabrication (Research Reactors)</t>
  </si>
  <si>
    <t>H-Canyon</t>
  </si>
  <si>
    <t xml:space="preserve"> </t>
  </si>
  <si>
    <t>Church Rock</t>
  </si>
  <si>
    <t>3300 MTSWU/year</t>
  </si>
  <si>
    <t>Global Laser Enrichment (GLE)</t>
  </si>
  <si>
    <t>3500 MTSWU/year</t>
  </si>
  <si>
    <t>Goliad Uranium Project</t>
  </si>
  <si>
    <t>Fluorine Extraction Process and Depleted Uranium Deconversion Plant (FEP/DUP)</t>
  </si>
  <si>
    <t>6500 t/year</t>
  </si>
  <si>
    <t>770 t U/year</t>
  </si>
  <si>
    <t>La Palangana</t>
  </si>
  <si>
    <t>Lost Creek</t>
  </si>
  <si>
    <t>Moore Ranch</t>
  </si>
  <si>
    <t>MOX Fuel Fabrication Facility (MFFF)</t>
  </si>
  <si>
    <t>Nichols Ranch ISL Project</t>
  </si>
  <si>
    <t>Pinon Ridge Mill</t>
  </si>
  <si>
    <t>Nichols Project</t>
  </si>
  <si>
    <t>TRISO-X Fuel Fabrication Facility</t>
  </si>
  <si>
    <t>Fuel Fabrication (Pebble Bed Type)</t>
  </si>
  <si>
    <t>HALEU fuel</t>
  </si>
  <si>
    <t>0.9 t U/year</t>
  </si>
  <si>
    <t>Notes</t>
  </si>
  <si>
    <t>Removed AFR, Zircalloy facilities, Country</t>
  </si>
  <si>
    <t>xFID</t>
  </si>
  <si>
    <t>Lat</t>
  </si>
  <si>
    <t>Long</t>
  </si>
  <si>
    <t>added</t>
  </si>
  <si>
    <t>changed w/ ref</t>
  </si>
  <si>
    <t>verified (w/o additional ref)</t>
  </si>
  <si>
    <t>added w/ ref</t>
  </si>
  <si>
    <t>Reno Creek</t>
  </si>
  <si>
    <t>Ross</t>
  </si>
  <si>
    <t>Homestake</t>
  </si>
  <si>
    <r>
      <t xml:space="preserve">Lynchburg - FC Fuels </t>
    </r>
    <r>
      <rPr>
        <sz val="10"/>
        <color rgb="FFFF0000"/>
        <rFont val="Arial"/>
        <family val="2"/>
      </rPr>
      <t>(Framatome)</t>
    </r>
  </si>
  <si>
    <r>
      <t xml:space="preserve">Richland Fuel Fabrication Plant </t>
    </r>
    <r>
      <rPr>
        <sz val="10"/>
        <color rgb="FFFF0000"/>
        <rFont val="Arial"/>
        <family val="2"/>
      </rPr>
      <t>(Framatome)</t>
    </r>
  </si>
  <si>
    <t>Other</t>
  </si>
  <si>
    <t>Addex xFID (different from compiled_frontend FID), Lat/Long, Natl Lab</t>
  </si>
  <si>
    <t>Natl Lab</t>
  </si>
  <si>
    <t>ORNL</t>
  </si>
  <si>
    <t>LANL</t>
  </si>
  <si>
    <t>SRS</t>
  </si>
  <si>
    <t>ANL</t>
  </si>
  <si>
    <r>
      <t xml:space="preserve">HALEU Demonstration Plant </t>
    </r>
    <r>
      <rPr>
        <sz val="10"/>
        <color rgb="FFFF0000"/>
        <rFont val="Arial"/>
        <family val="2"/>
      </rPr>
      <t>(Piketon/Portsmouth)</t>
    </r>
  </si>
  <si>
    <r>
      <t xml:space="preserve">Portsmouth </t>
    </r>
    <r>
      <rPr>
        <sz val="10"/>
        <color rgb="FFFF0000"/>
        <rFont val="Arial"/>
        <family val="2"/>
      </rPr>
      <t>(Piketon)</t>
    </r>
  </si>
  <si>
    <t>INL</t>
  </si>
  <si>
    <r>
      <t xml:space="preserve">Special Metallurgical Facility </t>
    </r>
    <r>
      <rPr>
        <sz val="10"/>
        <color rgb="FFFF0000"/>
        <rFont val="Arial"/>
        <family val="2"/>
      </rPr>
      <t>(Mound Laboratory)</t>
    </r>
  </si>
  <si>
    <r>
      <t xml:space="preserve">American Centrifuge Plant </t>
    </r>
    <r>
      <rPr>
        <sz val="10"/>
        <color rgb="FFFF0000"/>
        <rFont val="Arial"/>
        <family val="2"/>
      </rPr>
      <t>(Piketon/Portmsouth)</t>
    </r>
  </si>
  <si>
    <r>
      <t xml:space="preserve">American Centrifuge Demonstration Facility </t>
    </r>
    <r>
      <rPr>
        <sz val="10"/>
        <color rgb="FFFF0000"/>
        <rFont val="Arial"/>
        <family val="2"/>
      </rPr>
      <t>(Piketon/Portsmouth)</t>
    </r>
  </si>
  <si>
    <t>Duplicate location</t>
  </si>
  <si>
    <t>Terminated</t>
  </si>
  <si>
    <r>
      <t>Eagle</t>
    </r>
    <r>
      <rPr>
        <sz val="10"/>
        <color rgb="FFFF0000"/>
        <rFont val="Arial"/>
        <family val="2"/>
      </rPr>
      <t xml:space="preserve"> Rock </t>
    </r>
    <r>
      <rPr>
        <sz val="10"/>
        <color theme="1"/>
        <rFont val="Arial"/>
        <family val="2"/>
      </rPr>
      <t>Enrichment Facility</t>
    </r>
  </si>
  <si>
    <t>LLNL</t>
  </si>
  <si>
    <r>
      <rPr>
        <sz val="10"/>
        <color rgb="FFFF0000"/>
        <rFont val="Arial"/>
        <family val="2"/>
      </rPr>
      <t>National Enrichment Facility (</t>
    </r>
    <r>
      <rPr>
        <sz val="10"/>
        <color theme="1"/>
        <rFont val="Arial"/>
        <family val="2"/>
      </rPr>
      <t>Urenco USA</t>
    </r>
    <r>
      <rPr>
        <sz val="10"/>
        <color rgb="FFFF0000"/>
        <rFont val="Arial"/>
        <family val="2"/>
      </rPr>
      <t>)</t>
    </r>
  </si>
  <si>
    <t>Dewey Burdock</t>
  </si>
  <si>
    <r>
      <t xml:space="preserve">Uranium Ore Processing </t>
    </r>
    <r>
      <rPr>
        <sz val="10"/>
        <color rgb="FFFF0000"/>
        <rFont val="Arial"/>
        <family val="2"/>
      </rPr>
      <t>(Conv)</t>
    </r>
  </si>
  <si>
    <r>
      <t xml:space="preserve">Uranium Ore Processing </t>
    </r>
    <r>
      <rPr>
        <sz val="10"/>
        <color rgb="FFFF0000"/>
        <rFont val="Arial"/>
        <family val="2"/>
      </rPr>
      <t>(ISR)</t>
    </r>
  </si>
  <si>
    <t>Standby</t>
  </si>
  <si>
    <t>Uranium Ore Processing (ISR)</t>
  </si>
  <si>
    <t>Lakeview</t>
  </si>
  <si>
    <t>Maybell</t>
  </si>
  <si>
    <t>Mexican Hat</t>
  </si>
  <si>
    <t>Naturita</t>
  </si>
  <si>
    <t>Rifle</t>
  </si>
  <si>
    <t>Riverton</t>
  </si>
  <si>
    <t>Salt Lake City</t>
  </si>
  <si>
    <t>Shiprock</t>
  </si>
  <si>
    <t>Slick Rock</t>
  </si>
  <si>
    <t>Spook</t>
  </si>
  <si>
    <t>Tuba City</t>
  </si>
  <si>
    <t>Edgemont</t>
  </si>
  <si>
    <t>Owner/Operator</t>
  </si>
  <si>
    <t>UEC</t>
  </si>
  <si>
    <t>American Nuclear</t>
  </si>
  <si>
    <t>Umetco</t>
  </si>
  <si>
    <t>Uranium Ore Processing (Conv)</t>
  </si>
  <si>
    <r>
      <t>Shoot</t>
    </r>
    <r>
      <rPr>
        <sz val="10"/>
        <color rgb="FFFF0000"/>
        <rFont val="Arial"/>
        <family val="2"/>
      </rPr>
      <t>a</t>
    </r>
    <r>
      <rPr>
        <sz val="10"/>
        <color theme="1"/>
        <rFont val="Arial"/>
        <family val="2"/>
      </rPr>
      <t>ring Canyon</t>
    </r>
  </si>
  <si>
    <t>Standby/Under Construction somewhat unclear. Double check these</t>
  </si>
  <si>
    <t>Framatome</t>
  </si>
  <si>
    <t>Susquehanna-Western, Solution Engineering</t>
  </si>
  <si>
    <r>
      <t>Uranium Ore Processing</t>
    </r>
    <r>
      <rPr>
        <sz val="10"/>
        <color rgb="FFFF0000"/>
        <rFont val="Arial"/>
        <family val="2"/>
      </rPr>
      <t xml:space="preserve"> (Conv)</t>
    </r>
  </si>
  <si>
    <t>Union Carbide</t>
  </si>
  <si>
    <t>Everest, Inc</t>
  </si>
  <si>
    <t>Humble Oil, ExxonMobil</t>
  </si>
  <si>
    <r>
      <t>Smith Ranch-</t>
    </r>
    <r>
      <rPr>
        <sz val="10"/>
        <color rgb="FFFF0000"/>
        <rFont val="Arial"/>
        <family val="2"/>
      </rPr>
      <t>Highland</t>
    </r>
  </si>
  <si>
    <t>Cameco</t>
  </si>
  <si>
    <r>
      <t xml:space="preserve">Uranium Ore Processing </t>
    </r>
    <r>
      <rPr>
        <sz val="10"/>
        <color rgb="FFFF0000"/>
        <rFont val="Arial"/>
        <family val="2"/>
      </rPr>
      <t>(Mines only)</t>
    </r>
  </si>
  <si>
    <t>Uranium Ore Processing (Decentralized ISR)</t>
  </si>
  <si>
    <r>
      <t xml:space="preserve">Uranium Ore Processing </t>
    </r>
    <r>
      <rPr>
        <sz val="10"/>
        <color rgb="FFFF0000"/>
        <rFont val="Arial"/>
        <family val="2"/>
      </rPr>
      <t>(Decentralized ISR)</t>
    </r>
  </si>
  <si>
    <t>Cotter Corp</t>
  </si>
  <si>
    <t>Cotter Cop</t>
  </si>
  <si>
    <r>
      <t>Uranium Ore Processing (</t>
    </r>
    <r>
      <rPr>
        <sz val="10"/>
        <color rgb="FFFF0000"/>
        <rFont val="Arial"/>
        <family val="2"/>
      </rPr>
      <t>Decentralized ISR)</t>
    </r>
  </si>
  <si>
    <t>UraniumOne, UEC</t>
  </si>
  <si>
    <t>Cogema, Westinghouse</t>
  </si>
  <si>
    <t>Primary Region</t>
  </si>
  <si>
    <t>Secondary Region</t>
  </si>
  <si>
    <t>Union Carbide/Chevron</t>
  </si>
  <si>
    <t>Intercontinental Energy Corporation</t>
  </si>
  <si>
    <t>URI, enCore</t>
  </si>
  <si>
    <t>SOHIO</t>
  </si>
  <si>
    <t>Rio Algom</t>
  </si>
  <si>
    <t>EF</t>
  </si>
  <si>
    <t>UrEnergy</t>
  </si>
  <si>
    <t>Pathfinder (-&gt;Cogema-&gt;UrEnergy)</t>
  </si>
  <si>
    <r>
      <t>Marquez</t>
    </r>
    <r>
      <rPr>
        <sz val="10"/>
        <color rgb="FFFF0000"/>
        <rFont val="Arial"/>
        <family val="2"/>
      </rPr>
      <t>-Juan Tafoya</t>
    </r>
  </si>
  <si>
    <t>enCore</t>
  </si>
  <si>
    <t>Everest</t>
  </si>
  <si>
    <r>
      <t>McBryde</t>
    </r>
    <r>
      <rPr>
        <sz val="10"/>
        <color rgb="FFFF0000"/>
        <rFont val="Arial"/>
        <family val="2"/>
      </rPr>
      <t xml:space="preserve"> / McBride</t>
    </r>
  </si>
  <si>
    <t>Caithness</t>
  </si>
  <si>
    <t>Dawn Mining Company</t>
  </si>
  <si>
    <r>
      <t xml:space="preserve">Wellpinit </t>
    </r>
    <r>
      <rPr>
        <sz val="10"/>
        <color rgb="FFFF0000"/>
        <rFont val="Arial"/>
        <family val="2"/>
      </rPr>
      <t>/ Sherwood</t>
    </r>
  </si>
  <si>
    <t>Dawn</t>
  </si>
  <si>
    <t>Western Nuclear</t>
  </si>
  <si>
    <r>
      <rPr>
        <sz val="10"/>
        <color theme="4"/>
        <rFont val="Arial"/>
        <family val="2"/>
      </rPr>
      <t>JAB</t>
    </r>
    <r>
      <rPr>
        <sz val="10"/>
        <color theme="1"/>
        <rFont val="Arial"/>
        <family val="2"/>
      </rPr>
      <t xml:space="preserve"> and Antelope</t>
    </r>
  </si>
  <si>
    <t>Uranium Reduction, Atlas</t>
  </si>
  <si>
    <t>Conoco, UraniumOne, UEC</t>
  </si>
  <si>
    <t>South Texas Mining Venture</t>
  </si>
  <si>
    <t>Chevron</t>
  </si>
  <si>
    <r>
      <t xml:space="preserve">Uranium Ore Processing </t>
    </r>
    <r>
      <rPr>
        <sz val="10"/>
        <color rgb="FFFF0000"/>
        <rFont val="Arial"/>
        <family val="2"/>
      </rPr>
      <t>(Complex Materials)</t>
    </r>
  </si>
  <si>
    <t>Rhodia, Solvay</t>
  </si>
  <si>
    <t>EnCore</t>
  </si>
  <si>
    <r>
      <t>Shirley Basin / Petro</t>
    </r>
    <r>
      <rPr>
        <sz val="10"/>
        <color rgb="FFFF0000"/>
        <rFont val="Arial"/>
        <family val="2"/>
      </rPr>
      <t>to</t>
    </r>
    <r>
      <rPr>
        <sz val="10"/>
        <color theme="1"/>
        <rFont val="Arial"/>
        <family val="2"/>
      </rPr>
      <t>mics</t>
    </r>
  </si>
  <si>
    <t>Petrotomics</t>
  </si>
  <si>
    <t>Anfield</t>
  </si>
  <si>
    <t>Kennecott</t>
  </si>
  <si>
    <t>Conoco</t>
  </si>
  <si>
    <t>Cogema</t>
  </si>
  <si>
    <t>Mosaic</t>
  </si>
  <si>
    <t>Falls City Conquista</t>
  </si>
  <si>
    <t>Conoco Philips</t>
  </si>
  <si>
    <t>UNC</t>
  </si>
  <si>
    <t>Hydro Resources</t>
  </si>
  <si>
    <t>Licensing</t>
  </si>
  <si>
    <t>Decomissioning</t>
  </si>
  <si>
    <t>Susquehanna, Exxon</t>
  </si>
  <si>
    <t>Strata Energy</t>
  </si>
  <si>
    <t>Uranium ore Processing (ISR)</t>
  </si>
  <si>
    <t>Climax Uranium Company</t>
  </si>
  <si>
    <t>Lakeview Mining Company</t>
  </si>
  <si>
    <t>‎-107.992859</t>
  </si>
  <si>
    <t>‎37.133601</t>
  </si>
  <si>
    <t>‎-109.874538</t>
  </si>
  <si>
    <t>Lance</t>
  </si>
  <si>
    <t>Peninsula</t>
  </si>
  <si>
    <t>Texas-Zinc Minerals, Atlas</t>
  </si>
  <si>
    <t>Trace Elements, Union Carbide/Umetco</t>
  </si>
  <si>
    <t>Decommisisoning</t>
  </si>
  <si>
    <t>Uravan / Nucla</t>
  </si>
  <si>
    <t>Three Rivers / Ray Point</t>
  </si>
  <si>
    <t>Grand Junction / Climax</t>
  </si>
  <si>
    <t>Hecla Mining Company</t>
  </si>
  <si>
    <t>Durita</t>
  </si>
  <si>
    <t>Vanadium Corporation of America</t>
  </si>
  <si>
    <t>‎-107.783299</t>
  </si>
  <si>
    <t>Fremont Minerals, Susquehanna</t>
  </si>
  <si>
    <t>‎40.687344</t>
  </si>
  <si>
    <t>Vitro Chemical</t>
  </si>
  <si>
    <t>Uranium Ore Processign (Conv)</t>
  </si>
  <si>
    <t>‎-108.684286</t>
  </si>
  <si>
    <t>Kerr-McGee, Vanadium Corporation of America</t>
  </si>
  <si>
    <t>‎42.507868</t>
  </si>
  <si>
    <t>‎-107.797189</t>
  </si>
  <si>
    <t>North Continent, Union Carbide, Umetco</t>
  </si>
  <si>
    <t>‎43.238845</t>
  </si>
  <si>
    <t>‎-105.622513</t>
  </si>
  <si>
    <t>Wyoming Mining &amp; Milling</t>
  </si>
  <si>
    <t>Uranium Ore Processing (Upgrading)</t>
  </si>
  <si>
    <t>‎36.145477</t>
  </si>
  <si>
    <t>‎-111.134782</t>
  </si>
  <si>
    <t>Rare Metals Corporation, El Paso Natural Gas</t>
  </si>
  <si>
    <t>‎43.273532</t>
  </si>
  <si>
    <t>‎-103.794221</t>
  </si>
  <si>
    <t>Susquehanna, TVA</t>
  </si>
  <si>
    <t>Union Carbide, Umetco</t>
  </si>
  <si>
    <t>‎40.543853</t>
  </si>
  <si>
    <t>Church Rock / Crownpoint</t>
  </si>
  <si>
    <t>Irigaray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</si>
</sst>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theme="1"/>
      <name val="Arial"/>
      <family val="2"/>
    </font>
    <font>
      <b/>
      <sz val="10"/>
      <color theme="1"/>
      <name val="Arial"/>
      <family val="2"/>
    </font>
    <font>
      <sz val="10"/>
      <color rgb="FFFF0000"/>
      <name val="Arial"/>
      <family val="2"/>
    </font>
    <font>
      <u/>
      <sz val="10"/>
      <color theme="10"/>
      <name val="Arial"/>
      <family val="2"/>
    </font>
    <font>
      <b/>
      <sz val="9"/>
      <color indexed="81"/>
      <name val="Tahoma"/>
      <family val="2"/>
    </font>
    <font>
      <sz val="9"/>
      <color indexed="81"/>
      <name val="Tahoma"/>
      <family val="2"/>
    </font>
    <font>
      <sz val="10"/>
      <color theme="9"/>
      <name val="Arial"/>
      <family val="2"/>
    </font>
    <font>
      <u/>
      <sz val="10"/>
      <color rgb="FFFF0000"/>
      <name val="Arial"/>
      <family val="2"/>
    </font>
    <font>
      <strike/>
      <u/>
      <sz val="10"/>
      <color theme="10"/>
      <name val="Arial"/>
      <family val="2"/>
    </font>
    <font>
      <sz val="9"/>
      <color indexed="81"/>
      <name val="Tahoma"/>
      <charset val="1"/>
    </font>
    <font>
      <b/>
      <sz val="9"/>
      <color indexed="81"/>
      <name val="Tahoma"/>
      <charset val="1"/>
    </font>
    <font>
      <u/>
      <sz val="10"/>
      <color theme="9"/>
      <name val="Arial"/>
      <family val="2"/>
    </font>
    <font>
      <strike/>
      <sz val="10"/>
      <color theme="1"/>
      <name val="Arial"/>
      <family val="2"/>
    </font>
    <font>
      <sz val="10"/>
      <color theme="4"/>
      <name val="Arial"/>
      <family val="2"/>
    </font>
    <font>
      <strike/>
      <sz val="10"/>
      <color rgb="FFFF0000"/>
      <name val="Arial"/>
      <family val="2"/>
    </font>
  </fonts>
  <fills count="16">
    <fill>
      <patternFill patternType="none"/>
    </fill>
    <fill>
      <patternFill patternType="gray125"/>
    </fill>
    <fill>
      <patternFill patternType="solid">
        <fgColor theme="8" tint="0.39997558519241921"/>
        <bgColor indexed="64"/>
      </patternFill>
    </fill>
    <fill>
      <patternFill patternType="solid">
        <fgColor theme="4" tint="0.79998168889431442"/>
        <bgColor theme="4" tint="0.79998168889431442"/>
      </patternFill>
    </fill>
    <fill>
      <patternFill patternType="solid">
        <fgColor theme="7"/>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499984740745262"/>
        <bgColor indexed="64"/>
      </patternFill>
    </fill>
    <fill>
      <patternFill patternType="solid">
        <fgColor theme="7" tint="0.39997558519241921"/>
        <bgColor indexed="64"/>
      </patternFill>
    </fill>
    <fill>
      <patternFill patternType="solid">
        <fgColor rgb="FFF2F2F2"/>
      </patternFill>
    </fill>
    <fill>
      <patternFill patternType="solid">
        <fgColor theme="9"/>
        <bgColor indexed="64"/>
      </patternFill>
    </fill>
    <fill>
      <patternFill patternType="solid">
        <fgColor theme="5" tint="0.79998168889431442"/>
        <bgColor indexed="64"/>
      </patternFill>
    </fill>
    <fill>
      <patternFill patternType="solid">
        <fgColor rgb="FFFFFFFF"/>
        <bgColor indexed="64"/>
      </patternFill>
    </fill>
  </fills>
  <borders count="14">
    <border>
      <left/>
      <right/>
      <top/>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indexed="64"/>
      </right>
      <top/>
      <bottom/>
      <diagonal/>
    </border>
    <border>
      <left style="thin">
        <color indexed="64"/>
      </left>
      <right style="thin">
        <color indexed="64"/>
      </right>
      <top/>
      <bottom/>
      <diagonal/>
    </border>
    <border>
      <left style="thin">
        <color rgb="FF000000"/>
      </left>
      <right style="thin">
        <color indexed="64"/>
      </right>
      <top/>
      <bottom/>
      <diagonal/>
    </border>
    <border>
      <left/>
      <right style="thin">
        <color indexed="64"/>
      </right>
      <top style="thin">
        <color theme="4" tint="0.39997558519241921"/>
      </top>
      <bottom style="thin">
        <color theme="4" tint="0.39997558519241921"/>
      </bottom>
      <diagonal/>
    </border>
    <border>
      <left style="thin">
        <color rgb="FF000000"/>
      </left>
      <right/>
      <top/>
      <bottom/>
      <diagonal/>
    </border>
    <border>
      <left style="thin">
        <color indexed="64"/>
      </left>
      <right/>
      <top/>
      <bottom/>
      <diagonal/>
    </border>
    <border>
      <left/>
      <right style="thin">
        <color indexed="64"/>
      </right>
      <top style="thin">
        <color rgb="FF7F7F7F"/>
      </top>
      <bottom style="thin">
        <color rgb="FF7F7F7F"/>
      </bottom>
      <diagonal/>
    </border>
  </borders>
  <cellStyleXfs count="7">
    <xf numFmtId="0" fontId="0" fillId="0" borderId="0"/>
    <xf numFmtId="0" fontId="1" fillId="0" borderId="0" applyNumberFormat="0" applyFill="0" applyBorder="0" applyAlignment="0" applyProtection="0"/>
    <xf numFmtId="0" fontId="3" fillId="0" borderId="0" applyNumberFormat="0" applyFill="0" applyBorder="0" applyAlignment="0" applyProtection="0"/>
    <xf numFmtId="0" fontId="3" fillId="0" borderId="0" applyFill="0" applyBorder="0" applyAlignment="0" applyProtection="0"/>
    <xf numFmtId="0" fontId="7" fillId="0" borderId="0" applyFill="0" applyBorder="0" applyAlignment="0" applyProtection="0"/>
    <xf numFmtId="0" fontId="2" fillId="0" borderId="0" applyFill="0" applyBorder="0" applyAlignment="0" applyProtection="0"/>
    <xf numFmtId="0" fontId="6" fillId="0" borderId="0" applyFill="0" applyBorder="0" applyAlignment="0" applyProtection="0"/>
  </cellStyleXfs>
  <cellXfs count="92">
    <xf numFmtId="0" fontId="0" fillId="0" borderId="0" xfId="0"/>
    <xf numFmtId="0" fontId="0" fillId="0" borderId="2" xfId="0" applyBorder="1"/>
    <xf numFmtId="0" fontId="0" fillId="0" borderId="3" xfId="0" applyBorder="1"/>
    <xf numFmtId="0" fontId="1" fillId="0" borderId="5" xfId="1" applyBorder="1"/>
    <xf numFmtId="0" fontId="1" fillId="0" borderId="6" xfId="1" applyBorder="1"/>
    <xf numFmtId="0" fontId="0" fillId="0" borderId="5" xfId="0" applyBorder="1"/>
    <xf numFmtId="0" fontId="0" fillId="2" borderId="0" xfId="0" applyFill="1"/>
    <xf numFmtId="0" fontId="0" fillId="2" borderId="5" xfId="0" applyFill="1" applyBorder="1"/>
    <xf numFmtId="0" fontId="0" fillId="2" borderId="7" xfId="0" applyFill="1" applyBorder="1"/>
    <xf numFmtId="0" fontId="0" fillId="0" borderId="7" xfId="0" applyBorder="1"/>
    <xf numFmtId="0" fontId="0" fillId="2" borderId="8" xfId="0" applyFill="1" applyBorder="1"/>
    <xf numFmtId="0" fontId="0" fillId="0" borderId="8" xfId="0" applyBorder="1"/>
    <xf numFmtId="0" fontId="2" fillId="0" borderId="0" xfId="0" applyFont="1"/>
    <xf numFmtId="0" fontId="2" fillId="0" borderId="8" xfId="0" applyFont="1" applyBorder="1"/>
    <xf numFmtId="0" fontId="6" fillId="0" borderId="0" xfId="0" applyFont="1"/>
    <xf numFmtId="0" fontId="3" fillId="0" borderId="0" xfId="2"/>
    <xf numFmtId="0" fontId="3" fillId="0" borderId="0" xfId="3"/>
    <xf numFmtId="0" fontId="1" fillId="0" borderId="0" xfId="1"/>
    <xf numFmtId="0" fontId="7" fillId="0" borderId="0" xfId="4"/>
    <xf numFmtId="0" fontId="2" fillId="0" borderId="8" xfId="5" applyBorder="1"/>
    <xf numFmtId="0" fontId="6" fillId="0" borderId="5" xfId="6" applyBorder="1"/>
    <xf numFmtId="0" fontId="7" fillId="0" borderId="8" xfId="4" applyBorder="1"/>
    <xf numFmtId="0" fontId="2" fillId="0" borderId="7" xfId="0" applyFont="1" applyBorder="1"/>
    <xf numFmtId="0" fontId="2" fillId="0" borderId="7" xfId="5" applyBorder="1"/>
    <xf numFmtId="0" fontId="7" fillId="0" borderId="7" xfId="4" applyBorder="1"/>
    <xf numFmtId="0" fontId="3" fillId="0" borderId="0" xfId="2" applyFill="1"/>
    <xf numFmtId="0" fontId="0" fillId="4" borderId="0" xfId="0" applyFill="1"/>
    <xf numFmtId="0" fontId="0" fillId="4" borderId="5" xfId="0" applyFill="1" applyBorder="1"/>
    <xf numFmtId="0" fontId="3" fillId="0" borderId="5" xfId="3" applyBorder="1"/>
    <xf numFmtId="0" fontId="3" fillId="0" borderId="5" xfId="2" applyBorder="1"/>
    <xf numFmtId="0" fontId="0" fillId="5" borderId="5" xfId="0" applyFill="1" applyBorder="1"/>
    <xf numFmtId="0" fontId="0" fillId="6" borderId="5" xfId="0" applyFill="1" applyBorder="1"/>
    <xf numFmtId="0" fontId="7" fillId="0" borderId="5" xfId="4" applyBorder="1"/>
    <xf numFmtId="0" fontId="0" fillId="7" borderId="5" xfId="0" applyFill="1" applyBorder="1"/>
    <xf numFmtId="0" fontId="0" fillId="8" borderId="5" xfId="0" applyFill="1" applyBorder="1"/>
    <xf numFmtId="0" fontId="2" fillId="0" borderId="5" xfId="5" applyBorder="1"/>
    <xf numFmtId="0" fontId="0" fillId="9" borderId="5" xfId="0" applyFill="1" applyBorder="1"/>
    <xf numFmtId="0" fontId="2" fillId="0" borderId="10" xfId="5" applyBorder="1"/>
    <xf numFmtId="0" fontId="2" fillId="0" borderId="0" xfId="5"/>
    <xf numFmtId="0" fontId="0" fillId="10" borderId="5" xfId="0" applyFill="1" applyBorder="1"/>
    <xf numFmtId="0" fontId="0" fillId="2" borderId="9" xfId="0" applyFill="1" applyBorder="1"/>
    <xf numFmtId="0" fontId="12" fillId="0" borderId="0" xfId="0" applyFont="1"/>
    <xf numFmtId="0" fontId="8" fillId="0" borderId="0" xfId="3" applyFont="1"/>
    <xf numFmtId="0" fontId="2" fillId="0" borderId="9" xfId="5" applyFill="1" applyBorder="1"/>
    <xf numFmtId="0" fontId="2" fillId="0" borderId="0" xfId="5" applyBorder="1"/>
    <xf numFmtId="0" fontId="2" fillId="3" borderId="0" xfId="5" applyFill="1" applyBorder="1"/>
    <xf numFmtId="0" fontId="7" fillId="0" borderId="0" xfId="4" applyBorder="1"/>
    <xf numFmtId="0" fontId="7" fillId="4" borderId="7" xfId="4" applyFill="1" applyBorder="1"/>
    <xf numFmtId="0" fontId="7" fillId="0" borderId="9" xfId="4" applyFill="1" applyBorder="1"/>
    <xf numFmtId="0" fontId="12" fillId="11" borderId="5" xfId="0" applyFont="1" applyFill="1" applyBorder="1"/>
    <xf numFmtId="0" fontId="14" fillId="0" borderId="9" xfId="5" applyFont="1" applyFill="1" applyBorder="1"/>
    <xf numFmtId="0" fontId="12" fillId="0" borderId="5" xfId="0" applyFont="1" applyBorder="1"/>
    <xf numFmtId="0" fontId="0" fillId="13" borderId="5" xfId="0" applyFill="1" applyBorder="1"/>
    <xf numFmtId="0" fontId="0" fillId="14" borderId="5" xfId="0" applyFill="1" applyBorder="1"/>
    <xf numFmtId="0" fontId="0" fillId="0" borderId="11" xfId="0" applyBorder="1"/>
    <xf numFmtId="0" fontId="2" fillId="3" borderId="10" xfId="5" applyFill="1" applyBorder="1"/>
    <xf numFmtId="0" fontId="7" fillId="0" borderId="10" xfId="4" applyBorder="1"/>
    <xf numFmtId="0" fontId="7" fillId="3" borderId="10" xfId="4" applyFill="1" applyBorder="1"/>
    <xf numFmtId="0" fontId="2" fillId="3" borderId="8" xfId="5" applyFill="1" applyBorder="1"/>
    <xf numFmtId="0" fontId="7" fillId="3" borderId="8" xfId="4" applyFill="1" applyBorder="1"/>
    <xf numFmtId="0" fontId="7" fillId="3" borderId="0" xfId="4" applyFill="1" applyBorder="1"/>
    <xf numFmtId="0" fontId="0" fillId="2" borderId="12" xfId="0" applyFill="1" applyBorder="1"/>
    <xf numFmtId="0" fontId="0" fillId="0" borderId="12" xfId="0" applyBorder="1"/>
    <xf numFmtId="0" fontId="2" fillId="0" borderId="10" xfId="0" applyFont="1" applyBorder="1"/>
    <xf numFmtId="0" fontId="3" fillId="0" borderId="7" xfId="2" applyBorder="1"/>
    <xf numFmtId="0" fontId="7" fillId="0" borderId="13" xfId="4" applyBorder="1"/>
    <xf numFmtId="0" fontId="2" fillId="0" borderId="11" xfId="5" applyBorder="1"/>
    <xf numFmtId="0" fontId="0" fillId="5" borderId="11" xfId="0" applyFill="1" applyBorder="1"/>
    <xf numFmtId="0" fontId="2" fillId="0" borderId="11" xfId="0" applyFont="1" applyBorder="1"/>
    <xf numFmtId="0" fontId="0" fillId="10" borderId="11" xfId="0" applyFill="1" applyBorder="1"/>
    <xf numFmtId="0" fontId="7" fillId="15" borderId="7" xfId="4" applyFill="1" applyBorder="1" applyAlignment="1">
      <alignment vertical="top"/>
    </xf>
    <xf numFmtId="0" fontId="7" fillId="0" borderId="8" xfId="4" applyBorder="1" applyAlignment="1"/>
    <xf numFmtId="0" fontId="3" fillId="0" borderId="11" xfId="2" applyBorder="1"/>
    <xf numFmtId="0" fontId="2" fillId="3" borderId="7" xfId="5" applyFill="1" applyBorder="1"/>
    <xf numFmtId="0" fontId="7" fillId="3" borderId="7" xfId="4" applyFill="1" applyBorder="1"/>
    <xf numFmtId="0" fontId="0" fillId="2" borderId="11" xfId="0" applyFill="1" applyBorder="1"/>
    <xf numFmtId="0" fontId="6" fillId="0" borderId="11" xfId="6" applyBorder="1"/>
    <xf numFmtId="0" fontId="8" fillId="0" borderId="11" xfId="2" applyFont="1" applyBorder="1"/>
    <xf numFmtId="0" fontId="8" fillId="0" borderId="11" xfId="3" applyFont="1" applyBorder="1"/>
    <xf numFmtId="0" fontId="11" fillId="0" borderId="11" xfId="6" applyFont="1" applyBorder="1"/>
    <xf numFmtId="0" fontId="7" fillId="0" borderId="11" xfId="4" applyBorder="1"/>
    <xf numFmtId="0" fontId="3" fillId="0" borderId="11" xfId="3" applyBorder="1"/>
    <xf numFmtId="0" fontId="7" fillId="15" borderId="7" xfId="4" applyFill="1" applyBorder="1" applyAlignment="1">
      <alignment vertical="top" wrapText="1"/>
    </xf>
    <xf numFmtId="0" fontId="6" fillId="0" borderId="8" xfId="6" applyBorder="1"/>
    <xf numFmtId="0" fontId="8" fillId="0" borderId="8" xfId="3" applyFont="1" applyBorder="1"/>
    <xf numFmtId="0" fontId="11" fillId="0" borderId="8" xfId="6" applyFont="1" applyBorder="1"/>
    <xf numFmtId="0" fontId="3" fillId="0" borderId="8" xfId="3" applyBorder="1"/>
    <xf numFmtId="0" fontId="0" fillId="0" borderId="10" xfId="0" applyBorder="1"/>
    <xf numFmtId="0" fontId="0" fillId="11" borderId="11" xfId="0" applyFill="1" applyBorder="1"/>
    <xf numFmtId="0" fontId="7" fillId="12" borderId="0" xfId="4" applyFill="1" applyBorder="1"/>
    <xf numFmtId="0" fontId="0" fillId="2" borderId="4" xfId="0" applyFill="1" applyBorder="1"/>
    <xf numFmtId="0" fontId="0" fillId="2" borderId="1" xfId="0" applyFill="1" applyBorder="1"/>
  </cellXfs>
  <cellStyles count="7">
    <cellStyle name="added" xfId="5" xr:uid="{CC409062-E17C-4F4E-9DCE-C03AB9F3DF41}"/>
    <cellStyle name="added w/ ref" xfId="4" xr:uid="{865649F0-DB03-4661-AE0C-D7878B803CFD}"/>
    <cellStyle name="bold" xfId="1" xr:uid="{00000000-0005-0000-0000-000006000000}"/>
    <cellStyle name="changed w/ ref" xfId="3" xr:uid="{725CD19E-4733-4808-B4F1-4D31C9AF3561}"/>
    <cellStyle name="Hyperlink" xfId="2" builtinId="8" customBuiltin="1"/>
    <cellStyle name="Normal" xfId="0" builtinId="0"/>
    <cellStyle name="verified" xfId="6" xr:uid="{00E44F1B-6C51-4AE3-B4E0-1FEADBAB369C}"/>
  </cellStyles>
  <dxfs count="34">
    <dxf>
      <font>
        <color theme="4" tint="-0.24994659260841701"/>
      </font>
      <fill>
        <patternFill patternType="none">
          <bgColor auto="1"/>
        </patternFill>
      </fill>
    </dxf>
    <dxf>
      <font>
        <color theme="4" tint="-0.24994659260841701"/>
      </font>
      <fill>
        <patternFill patternType="none">
          <bgColor auto="1"/>
        </patternFill>
      </fill>
    </dxf>
    <dxf>
      <font>
        <color theme="4" tint="-0.24994659260841701"/>
      </font>
      <fill>
        <patternFill patternType="none">
          <bgColor auto="1"/>
        </patternFill>
      </fill>
    </dxf>
    <dxf>
      <font>
        <color theme="4" tint="-0.24994659260841701"/>
      </font>
      <fill>
        <patternFill patternType="none">
          <bgColor auto="1"/>
        </patternFill>
      </fill>
    </dxf>
    <dxf>
      <font>
        <color theme="4" tint="-0.24994659260841701"/>
      </font>
      <fill>
        <patternFill patternType="none">
          <bgColor auto="1"/>
        </patternFill>
      </fill>
    </dxf>
    <dxf>
      <font>
        <color theme="4" tint="-0.24994659260841701"/>
      </font>
      <fill>
        <patternFill patternType="none">
          <bgColor auto="1"/>
        </patternFill>
      </fill>
    </dxf>
    <dxf>
      <font>
        <color theme="4" tint="-0.24994659260841701"/>
      </font>
      <fill>
        <patternFill patternType="none">
          <bgColor auto="1"/>
        </patternFill>
      </fill>
    </dxf>
    <dxf>
      <font>
        <color theme="4" tint="-0.24994659260841701"/>
      </font>
      <fill>
        <patternFill patternType="none">
          <bgColor auto="1"/>
        </patternFill>
      </fill>
    </dxf>
    <dxf>
      <font>
        <color theme="4" tint="-0.24994659260841701"/>
      </font>
      <fill>
        <patternFill patternType="none">
          <bgColor auto="1"/>
        </patternFill>
      </fill>
    </dxf>
    <dxf>
      <font>
        <color theme="4" tint="-0.24994659260841701"/>
      </font>
      <fill>
        <patternFill patternType="none">
          <bgColor auto="1"/>
        </patternFill>
      </fill>
    </dxf>
    <dxf>
      <font>
        <color theme="4" tint="-0.24994659260841701"/>
      </font>
      <fill>
        <patternFill patternType="none">
          <bgColor auto="1"/>
        </patternFill>
      </fill>
    </dxf>
    <dxf>
      <font>
        <color theme="4" tint="-0.24994659260841701"/>
      </font>
      <fill>
        <patternFill patternType="none">
          <bgColor auto="1"/>
        </patternFill>
      </fill>
    </dxf>
    <dxf>
      <font>
        <color theme="4" tint="-0.24994659260841701"/>
      </font>
      <fill>
        <patternFill patternType="none">
          <bgColor auto="1"/>
        </patternFill>
      </fill>
    </dxf>
    <dxf>
      <font>
        <color theme="4" tint="-0.24994659260841701"/>
      </font>
      <fill>
        <patternFill patternType="none">
          <bgColor auto="1"/>
        </patternFill>
      </fill>
    </dxf>
    <dxf>
      <font>
        <color theme="4" tint="-0.24994659260841701"/>
      </font>
      <fill>
        <patternFill patternType="none">
          <bgColor auto="1"/>
        </patternFill>
      </fill>
    </dxf>
    <dxf>
      <font>
        <color theme="4" tint="-0.24994659260841701"/>
      </font>
      <fill>
        <patternFill patternType="none">
          <bgColor auto="1"/>
        </patternFill>
      </fill>
    </dxf>
    <dxf>
      <font>
        <color theme="4" tint="-0.24994659260841701"/>
      </font>
      <fill>
        <patternFill patternType="none">
          <bgColor auto="1"/>
        </patternFill>
      </fill>
    </dxf>
    <dxf>
      <font>
        <color theme="4" tint="-0.24994659260841701"/>
      </font>
      <fill>
        <patternFill patternType="none">
          <bgColor auto="1"/>
        </patternFill>
      </fill>
    </dxf>
    <dxf>
      <font>
        <color theme="4" tint="-0.24994659260841701"/>
      </font>
      <fill>
        <patternFill patternType="none">
          <bgColor auto="1"/>
        </patternFill>
      </fill>
    </dxf>
    <dxf>
      <font>
        <color theme="4" tint="-0.24994659260841701"/>
      </font>
      <fill>
        <patternFill patternType="none">
          <bgColor auto="1"/>
        </patternFill>
      </fill>
    </dxf>
    <dxf>
      <border diagonalUp="0" diagonalDown="0">
        <left style="thin">
          <color indexed="64"/>
        </left>
        <right style="thin">
          <color indexed="64"/>
        </right>
        <top/>
        <bottom/>
        <vertical/>
        <horizontal/>
      </border>
    </dxf>
    <dxf>
      <border diagonalUp="0" diagonalDown="0">
        <left/>
        <right style="thin">
          <color indexed="64"/>
        </right>
        <top/>
        <bottom/>
        <vertical/>
        <horizontal/>
      </border>
    </dxf>
    <dxf>
      <border diagonalUp="0" diagonalDown="0">
        <left style="thin">
          <color indexed="64"/>
        </left>
        <right style="thin">
          <color indexed="64"/>
        </right>
        <top/>
        <bottom/>
        <vertical/>
        <horizontal/>
      </border>
    </dxf>
    <dxf>
      <border diagonalUp="0" diagonalDown="0">
        <left style="thin">
          <color indexed="64"/>
        </left>
        <right style="thin">
          <color indexed="64"/>
        </right>
        <top/>
        <bottom/>
        <vertical/>
        <horizontal/>
      </border>
    </dxf>
    <dxf>
      <border diagonalUp="0" diagonalDown="0">
        <left style="thin">
          <color indexed="64"/>
        </left>
        <right style="thin">
          <color indexed="64"/>
        </right>
        <top/>
        <bottom/>
        <vertical/>
        <horizontal/>
      </border>
    </dxf>
    <dxf>
      <border diagonalUp="0" diagonalDown="0">
        <left style="thin">
          <color indexed="64"/>
        </left>
        <right style="thin">
          <color indexed="64"/>
        </right>
        <top/>
        <bottom/>
        <vertical/>
        <horizontal/>
      </border>
    </dxf>
    <dxf>
      <border diagonalUp="0" diagonalDown="0">
        <left style="thin">
          <color rgb="FF000000"/>
        </left>
        <right style="thin">
          <color rgb="FF000000"/>
        </right>
        <top/>
        <bottom/>
        <vertical/>
        <horizontal/>
      </border>
    </dxf>
    <dxf>
      <border diagonalUp="0" diagonalDown="0">
        <left style="thin">
          <color rgb="FF000000"/>
        </left>
        <right style="thin">
          <color rgb="FF000000"/>
        </right>
        <top/>
        <bottom/>
        <vertical/>
        <horizontal/>
      </border>
    </dxf>
    <dxf>
      <border diagonalUp="0" diagonalDown="0">
        <left style="thin">
          <color rgb="FF000000"/>
        </left>
        <right style="thin">
          <color rgb="FF000000"/>
        </right>
        <top/>
        <bottom/>
        <vertical/>
        <horizontal/>
      </border>
    </dxf>
    <dxf>
      <fill>
        <patternFill patternType="none">
          <fgColor indexed="64"/>
          <bgColor auto="1"/>
        </patternFill>
      </fill>
      <border diagonalUp="0" diagonalDown="0">
        <left style="thin">
          <color rgb="FF000000"/>
        </left>
        <right style="thin">
          <color indexed="64"/>
        </right>
        <top/>
        <bottom/>
        <vertical/>
        <horizontal/>
      </border>
    </dxf>
    <dxf>
      <border diagonalUp="0" diagonalDown="0" outline="0">
        <left style="thin">
          <color rgb="FF000000"/>
        </left>
        <right/>
        <top/>
        <bottom/>
      </border>
    </dxf>
    <dxf>
      <border diagonalUp="0" diagonalDown="0">
        <left/>
        <right style="thin">
          <color indexed="64"/>
        </right>
        <top/>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theme="8"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isher, Riley" id="{AEB7CAD9-F5DF-428D-893F-3D085EA31607}" userId="S::fishr@umich.edu::33f1aa1e-55f2-4fd0-aca4-01d5b419346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28D275-0433-46C8-AA2D-3FA02F019E65}" name="Table1" displayName="Table1" ref="B9:P153" totalsRowShown="0" headerRowDxfId="33" tableBorderDxfId="32">
  <autoFilter ref="B9:P153" xr:uid="{2E28D275-0433-46C8-AA2D-3FA02F019E65}"/>
  <sortState xmlns:xlrd2="http://schemas.microsoft.com/office/spreadsheetml/2017/richdata2" ref="B10:P153">
    <sortCondition ref="E9:E153"/>
  </sortState>
  <tableColumns count="15">
    <tableColumn id="10" xr3:uid="{3E1649DC-5BFA-4E5C-BC1E-3FF352257837}" name="xFID" dataDxfId="31"/>
    <tableColumn id="2" xr3:uid="{118B4F2A-CA84-4232-B3D8-BD33AC87D6CA}" name="Facility Name" dataDxfId="30"/>
    <tableColumn id="1" xr3:uid="{4F32F97A-3237-448E-86E4-482077C7F9FF}" name="Owner/Operator" dataDxfId="29" dataCellStyle="added"/>
    <tableColumn id="3" xr3:uid="{08D53FD6-6A17-438E-8737-CD76D2FDC0A5}" name="Facility Type"/>
    <tableColumn id="4" xr3:uid="{EFF8A771-F96B-4261-A6A7-D1B1C6CA5305}" name="Fuel Type" dataDxfId="28"/>
    <tableColumn id="5" xr3:uid="{4053ED03-7393-4690-BFBF-15B07F3436FF}" name="Facility Status"/>
    <tableColumn id="6" xr3:uid="{C4708BA6-2DF7-4E8B-A0B0-34B4C442F1D6}" name="Scale" dataDxfId="27"/>
    <tableColumn id="7" xr3:uid="{354BD7B3-757C-4E08-9EF1-CD628C41CA46}" name="Design Capacity"/>
    <tableColumn id="8" xr3:uid="{3B816C90-09BC-482C-863E-9F9795A5CBAA}" name="Start of Operation" dataDxfId="26"/>
    <tableColumn id="9" xr3:uid="{95473353-9C46-41C9-AD89-DF23CB8502C9}" name="End of Operation" dataDxfId="25"/>
    <tableColumn id="11" xr3:uid="{C1CB88D6-2188-46FD-AF59-B428DBF1B0AE}" name="Lat" dataDxfId="24"/>
    <tableColumn id="12" xr3:uid="{B681A4B2-8EC9-4441-8215-8961112EDDD5}" name="Long" dataDxfId="23"/>
    <tableColumn id="14" xr3:uid="{EA48F7C6-04E3-4D12-BE85-9AC455F1502A}" name="Primary Region" dataDxfId="22"/>
    <tableColumn id="15" xr3:uid="{6055D85D-25DE-41C1-BE09-B7123D99160A}" name="Secondary Region" dataDxfId="21"/>
    <tableColumn id="13" xr3:uid="{CEAF00A1-6E81-4325-8588-9968D3670AAA}" name="Natl Lab" dataDxfId="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64" dT="2026-01-10T22:37:43.76" personId="{AEB7CAD9-F5DF-428D-893F-3D085EA31607}" id="{AED877AE-6109-4901-B9A3-94F3E67DAA68}">
    <text>Note: This project was operated by Louisiana Energy Services (LES) until they were bought by Urenco. LES was rying to obtain a license for Claiborne in LA, where their license was actually rejected, rather than terminated</text>
  </threadedComment>
  <threadedComment ref="C77" dT="2026-01-11T20:40:36.97" personId="{AEB7CAD9-F5DF-428D-893F-3D085EA31607}" id="{C489A2D6-CC00-4BB1-97D1-97B0F408D115}">
    <text>There is another church rock (ISR) that is permitted but is not producing anything</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www.western-uranium.com/projects/hansen-taylor-ranch/" TargetMode="External"/><Relationship Id="rId21" Type="http://schemas.openxmlformats.org/officeDocument/2006/relationships/hyperlink" Target="google.com/search?q=piketon+haleu+demonstration&amp;rlz=1C1GCEU_enUS1027US1027&amp;oq=piketon+haleu+demonstration&amp;gs_lcrp=EgZjaHJvbWUyBggAEEUYOTIHCAEQIRigATIHCAIQIRigATIHCAMQIRigATIHCAQQIRigATIHCAUQIRigATIHCAYQIRiPAtIBCDc5ODVqMGo3qAIAsAIA&amp;sourceid=chrome&amp;ie=UTF-8" TargetMode="External"/><Relationship Id="rId42" Type="http://schemas.openxmlformats.org/officeDocument/2006/relationships/hyperlink" Target="https://www.nrc.gov/docs/ML1417/ML14171A757.pdf" TargetMode="External"/><Relationship Id="rId63" Type="http://schemas.openxmlformats.org/officeDocument/2006/relationships/hyperlink" Target="https://www.uraniumenergy.com/projects/wyoming/" TargetMode="External"/><Relationship Id="rId84" Type="http://schemas.openxmlformats.org/officeDocument/2006/relationships/hyperlink" Target="https://www.energy.gov/lm/articles/sherwood-washington-disposal-site-fact-sheet" TargetMode="External"/><Relationship Id="rId138" Type="http://schemas.openxmlformats.org/officeDocument/2006/relationships/hyperlink" Target="https://wcsecure.weblink.com.au/pdf/PEN/02907862.pdf" TargetMode="External"/><Relationship Id="rId107" Type="http://schemas.openxmlformats.org/officeDocument/2006/relationships/hyperlink" Target="https://www.epa.gov/sites/default/files/2015-05/documents/subpart-w-risk.pdf" TargetMode="External"/><Relationship Id="rId11" Type="http://schemas.openxmlformats.org/officeDocument/2006/relationships/hyperlink" Target="https://www.nrc.gov/docs/ML2000/ML20003H133.pdf" TargetMode="External"/><Relationship Id="rId32" Type="http://schemas.openxmlformats.org/officeDocument/2006/relationships/hyperlink" Target="https://www.theupa.org/uranium_technology/reclamation_and_restoration/us_clay_west_burns/" TargetMode="External"/><Relationship Id="rId37" Type="http://schemas.openxmlformats.org/officeDocument/2006/relationships/hyperlink" Target="https://www.nrc.gov/info-finder/decommissioning/uranium/cotter-uranium-mill" TargetMode="External"/><Relationship Id="rId53" Type="http://schemas.openxmlformats.org/officeDocument/2006/relationships/hyperlink" Target="https://www.nrc.gov/cdn/legacy/info-finder/decommissioning/uranium/is-homestake.pdf" TargetMode="External"/><Relationship Id="rId58" Type="http://schemas.openxmlformats.org/officeDocument/2006/relationships/hyperlink" Target="https://www.nrc.gov/docs/ML2012/ML20127A015.pdf" TargetMode="External"/><Relationship Id="rId74" Type="http://schemas.openxmlformats.org/officeDocument/2006/relationships/hyperlink" Target="https://gems.lm.doe.gov/" TargetMode="External"/><Relationship Id="rId79" Type="http://schemas.openxmlformats.org/officeDocument/2006/relationships/hyperlink" Target="https://www.nrc.gov/info-finder/decommissioning/uranium/pathfinder-lucky-mc" TargetMode="External"/><Relationship Id="rId102" Type="http://schemas.openxmlformats.org/officeDocument/2006/relationships/hyperlink" Target="https://response.epa.gov/site/site_profile.aspx?site_id=14706" TargetMode="External"/><Relationship Id="rId123" Type="http://schemas.openxmlformats.org/officeDocument/2006/relationships/hyperlink" Target="https://www.nrc.gov/info-finder/decommissioning/uranium/hecla-mining-company" TargetMode="External"/><Relationship Id="rId128" Type="http://schemas.openxmlformats.org/officeDocument/2006/relationships/hyperlink" Target="https://www.energy.gov/lm/articles/shiprock-new-mexico-disposal-site-fact-sheet" TargetMode="External"/><Relationship Id="rId5" Type="http://schemas.openxmlformats.org/officeDocument/2006/relationships/hyperlink" Target="https://www.nrc.gov/docs/ML0413/ML041310388.pdf" TargetMode="External"/><Relationship Id="rId90" Type="http://schemas.openxmlformats.org/officeDocument/2006/relationships/hyperlink" Target="https://minedocs.com/20/AltaMesa_Technical_Report_07282016.pdf" TargetMode="External"/><Relationship Id="rId95" Type="http://schemas.openxmlformats.org/officeDocument/2006/relationships/hyperlink" Target="https://www.nrc.gov/info-finder/decommissioning/complex/solvay-usa-inc" TargetMode="External"/><Relationship Id="rId22" Type="http://schemas.openxmlformats.org/officeDocument/2006/relationships/hyperlink" Target="https://www.osti.gov/servlets/purl/10119132" TargetMode="External"/><Relationship Id="rId27" Type="http://schemas.openxmlformats.org/officeDocument/2006/relationships/hyperlink" Target="https://www.centrusenergy.com/what-we-do/national-security/american-centrifuge/" TargetMode="External"/><Relationship Id="rId43" Type="http://schemas.openxmlformats.org/officeDocument/2006/relationships/hyperlink" Target="https://www.tshaonline.org/handbook/entries/uranium-mining" TargetMode="External"/><Relationship Id="rId48" Type="http://schemas.openxmlformats.org/officeDocument/2006/relationships/hyperlink" Target="https://www.uraniumenergy.com/_resources/reports/goliad_ni43-101.pdf?utm" TargetMode="External"/><Relationship Id="rId64" Type="http://schemas.openxmlformats.org/officeDocument/2006/relationships/hyperlink" Target="https://brsengineering.com/wp-content/uploads/2013/09/JAB-43-101-March-14-2008.pdf" TargetMode="External"/><Relationship Id="rId69" Type="http://schemas.openxmlformats.org/officeDocument/2006/relationships/hyperlink" Target="https://www.nrc.gov/info-finder/decommissioning/uranium/intercontinental-energy-corp" TargetMode="External"/><Relationship Id="rId113" Type="http://schemas.openxmlformats.org/officeDocument/2006/relationships/hyperlink" Target="https://sites.utexas.edu/zornberg/files/2022/03/Sheridan_Zornberg_Gilbert_2012.pdf" TargetMode="External"/><Relationship Id="rId118" Type="http://schemas.openxmlformats.org/officeDocument/2006/relationships/hyperlink" Target="https://stratawyo.com/projects/ross-isr-project" TargetMode="External"/><Relationship Id="rId134" Type="http://schemas.openxmlformats.org/officeDocument/2006/relationships/hyperlink" Target="https://www.energy.gov/lm/articles/maybell-colorado-disposal-site-fact-sheet" TargetMode="External"/><Relationship Id="rId139" Type="http://schemas.openxmlformats.org/officeDocument/2006/relationships/vmlDrawing" Target="../drawings/vmlDrawing1.vml"/><Relationship Id="rId80" Type="http://schemas.openxmlformats.org/officeDocument/2006/relationships/hyperlink" Target="https://encoreuranium.com/projects/juan-tafoya-marquez/" TargetMode="External"/><Relationship Id="rId85" Type="http://schemas.openxmlformats.org/officeDocument/2006/relationships/hyperlink" Target="https://inis.iaea.org/records/9pr4n-q6f23" TargetMode="External"/><Relationship Id="rId12" Type="http://schemas.openxmlformats.org/officeDocument/2006/relationships/hyperlink" Target="https://www.nrc.gov/materials/fuel-cycle-fac/mox/licensing" TargetMode="External"/><Relationship Id="rId17" Type="http://schemas.openxmlformats.org/officeDocument/2006/relationships/hyperlink" Target="https://www.srs.gov/general/news/factsheets/srs_h_canyon.pdf" TargetMode="External"/><Relationship Id="rId33" Type="http://schemas.openxmlformats.org/officeDocument/2006/relationships/hyperlink" Target="https://www.theupa.org/uranium_technology/reclamation_and_restoration/us_clay_west_burns/" TargetMode="External"/><Relationship Id="rId38" Type="http://schemas.openxmlformats.org/officeDocument/2006/relationships/hyperlink" Target="https://hanthony.com/aes/Projects/URIBruni.htm" TargetMode="External"/><Relationship Id="rId59" Type="http://schemas.openxmlformats.org/officeDocument/2006/relationships/hyperlink" Target="https://www.nrc.gov/info-finder/decommissioning/uranium/exxonmobil-highlands" TargetMode="External"/><Relationship Id="rId103" Type="http://schemas.openxmlformats.org/officeDocument/2006/relationships/hyperlink" Target="https://www.epa.gov/sites/default/files/2015-05/documents/subpart-w-risk.pdf" TargetMode="External"/><Relationship Id="rId108" Type="http://schemas.openxmlformats.org/officeDocument/2006/relationships/hyperlink" Target="https://encoreuranium.com/wp-content/uploads/2021/11/Q3-2021-Management-Discussion-and-Analysis.pdf" TargetMode="External"/><Relationship Id="rId124" Type="http://schemas.openxmlformats.org/officeDocument/2006/relationships/hyperlink" Target="https://www.energy.gov/lm/articles/rifle-colorado-disposal-site-and-processing-sites-fact-sheet" TargetMode="External"/><Relationship Id="rId129" Type="http://schemas.openxmlformats.org/officeDocument/2006/relationships/hyperlink" Target="https://www.energy.gov/lm/articles/split-rock-wyoming-disposal-site-fact-sheet" TargetMode="External"/><Relationship Id="rId54" Type="http://schemas.openxmlformats.org/officeDocument/2006/relationships/hyperlink" Target="https://gems.lm.doe.gov/" TargetMode="External"/><Relationship Id="rId70" Type="http://schemas.openxmlformats.org/officeDocument/2006/relationships/hyperlink" Target="https://www.mindat.org/loc-42252.html" TargetMode="External"/><Relationship Id="rId75" Type="http://schemas.openxmlformats.org/officeDocument/2006/relationships/hyperlink" Target="https://www.nrc.gov/info-finder/decommissioning/uranium/rio-algom" TargetMode="External"/><Relationship Id="rId91" Type="http://schemas.openxmlformats.org/officeDocument/2006/relationships/hyperlink" Target="https://www.prnewswire.com/news-releases/energy-fuels-advancing-work-to-prepare-for-restart-at-nichols-ranch-uranium-project-in-wyoming-302244575.html" TargetMode="External"/><Relationship Id="rId96" Type="http://schemas.openxmlformats.org/officeDocument/2006/relationships/hyperlink" Target="https://cumulis.epa.gov/supercpad/CurSites/csitinfo.cfm?id=0603552" TargetMode="External"/><Relationship Id="rId140" Type="http://schemas.openxmlformats.org/officeDocument/2006/relationships/table" Target="../tables/table1.xml"/><Relationship Id="rId1" Type="http://schemas.openxmlformats.org/officeDocument/2006/relationships/hyperlink" Target="https://www.nrc.gov/info-finder/fc/triso-x" TargetMode="External"/><Relationship Id="rId6" Type="http://schemas.openxmlformats.org/officeDocument/2006/relationships/hyperlink" Target="https://lmpublicsearch.lm.doe.gov/lmsites/7210-ash%20000019.pdf" TargetMode="External"/><Relationship Id="rId23" Type="http://schemas.openxmlformats.org/officeDocument/2006/relationships/hyperlink" Target="https://www.nrc.gov/docs/ML2021/ML20217D080.pdf" TargetMode="External"/><Relationship Id="rId28" Type="http://schemas.openxmlformats.org/officeDocument/2006/relationships/hyperlink" Target="https://www.nrc.gov/info-finder/decommissioning/uranium/bear-creek.html" TargetMode="External"/><Relationship Id="rId49" Type="http://schemas.openxmlformats.org/officeDocument/2006/relationships/hyperlink" Target="https://gems.lm.doe.gov/" TargetMode="External"/><Relationship Id="rId114" Type="http://schemas.openxmlformats.org/officeDocument/2006/relationships/hyperlink" Target="https://www.nrc.gov/docs/ML0620/ML062060345.pdf" TargetMode="External"/><Relationship Id="rId119" Type="http://schemas.openxmlformats.org/officeDocument/2006/relationships/hyperlink" Target="https://www.nrc.gov/docs/ML1405/ML14056A096.pdf" TargetMode="External"/><Relationship Id="rId44" Type="http://schemas.openxmlformats.org/officeDocument/2006/relationships/hyperlink" Target="https://www.energy.gov/lm/articles/falls-city-texas-disposal-site-fact-sheet" TargetMode="External"/><Relationship Id="rId60" Type="http://schemas.openxmlformats.org/officeDocument/2006/relationships/hyperlink" Target="https://www.cameco.com/businesses/uranium-operations/suspended/smith-ranch-highland" TargetMode="External"/><Relationship Id="rId65" Type="http://schemas.openxmlformats.org/officeDocument/2006/relationships/hyperlink" Target="https://www.epa.gov/sites/default/files/2015-05/documents/subpart-w-risk.pdf" TargetMode="External"/><Relationship Id="rId81" Type="http://schemas.openxmlformats.org/officeDocument/2006/relationships/hyperlink" Target="https://downloads.regulations.gov/EPA-HQ-OAR-2012-0788-0225/attachment_103.pdf?utm" TargetMode="External"/><Relationship Id="rId86" Type="http://schemas.openxmlformats.org/officeDocument/2006/relationships/hyperlink" Target="https://inis.iaea.org/records/9pr4n-q6f23" TargetMode="External"/><Relationship Id="rId130" Type="http://schemas.openxmlformats.org/officeDocument/2006/relationships/hyperlink" Target="https://www.energy.gov/lm/articles/slick-rock-colorado-disposal-and-processing-sites-fact-sheet" TargetMode="External"/><Relationship Id="rId135" Type="http://schemas.openxmlformats.org/officeDocument/2006/relationships/hyperlink" Target="https://encoreuranium.com/wp-content/uploads/2025/03/Dewey-Burdock-2024-S-K-1300-Technical-Report-Summary_ROpt.pdf" TargetMode="External"/><Relationship Id="rId13" Type="http://schemas.openxmlformats.org/officeDocument/2006/relationships/hyperlink" Target="https://www.energy.gov/etec/nuclear-materials-development-facility" TargetMode="External"/><Relationship Id="rId18" Type="http://schemas.openxmlformats.org/officeDocument/2006/relationships/hyperlink" Target="https://www.nps.gov/places/000/t-plant.htm" TargetMode="External"/><Relationship Id="rId39" Type="http://schemas.openxmlformats.org/officeDocument/2006/relationships/hyperlink" Target="https://hanthony.com/aes/Projects/Palangana.htm" TargetMode="External"/><Relationship Id="rId109" Type="http://schemas.openxmlformats.org/officeDocument/2006/relationships/hyperlink" Target="https://www.epa.gov/sites/default/files/2015-05/documents/cogema-mining-inc.pdf" TargetMode="External"/><Relationship Id="rId34" Type="http://schemas.openxmlformats.org/officeDocument/2006/relationships/hyperlink" Target="https://www.cameco.com/businesses/uranium-operations/suspended/crow-butte" TargetMode="External"/><Relationship Id="rId50" Type="http://schemas.openxmlformats.org/officeDocument/2006/relationships/hyperlink" Target="https://www.eia.gov/uranium/production/annual/archive/dupr2023.pdf" TargetMode="External"/><Relationship Id="rId55" Type="http://schemas.openxmlformats.org/officeDocument/2006/relationships/hyperlink" Target="https://www.nrc.gov/docs/ML2012/ML20127A015.pdf" TargetMode="External"/><Relationship Id="rId76" Type="http://schemas.openxmlformats.org/officeDocument/2006/relationships/hyperlink" Target="https://www.energy.gov/lm/articles/l-bar-new-mexico-disposal-site-fact-sheet" TargetMode="External"/><Relationship Id="rId97" Type="http://schemas.openxmlformats.org/officeDocument/2006/relationships/hyperlink" Target="https://www.nrc.gov/info-finder/decommissioning/complex/solvay-usa-inc" TargetMode="External"/><Relationship Id="rId104" Type="http://schemas.openxmlformats.org/officeDocument/2006/relationships/hyperlink" Target="https://minedocs.com/20/AltaMesa_Technical_Report_07282016.pdf" TargetMode="External"/><Relationship Id="rId120" Type="http://schemas.openxmlformats.org/officeDocument/2006/relationships/hyperlink" Target="https://www.energy.gov/sites/default/files/2022-09/GrandJunctionDandPFactSheet.pdf" TargetMode="External"/><Relationship Id="rId125" Type="http://schemas.openxmlformats.org/officeDocument/2006/relationships/hyperlink" Target="https://www.energy.gov/lm/articles/riverton-wyoming-processing-site-fact-sheet" TargetMode="External"/><Relationship Id="rId141" Type="http://schemas.openxmlformats.org/officeDocument/2006/relationships/comments" Target="../comments1.xml"/><Relationship Id="rId7" Type="http://schemas.openxmlformats.org/officeDocument/2006/relationships/hyperlink" Target="https://www.energy.gov/lm/ashtabula-ohio-site" TargetMode="External"/><Relationship Id="rId71" Type="http://schemas.openxmlformats.org/officeDocument/2006/relationships/hyperlink" Target="https://encoreuranium.com/projects/south-texas-operations/" TargetMode="External"/><Relationship Id="rId92" Type="http://schemas.openxmlformats.org/officeDocument/2006/relationships/hyperlink" Target="https://www.nrc.gov/info-finder/decommissioning/uranium/rio-grande-resources-corp" TargetMode="External"/><Relationship Id="rId2" Type="http://schemas.openxmlformats.org/officeDocument/2006/relationships/hyperlink" Target="https://lmpublicsearch.lm.doe.gov/SitePages/default.aspx?sitename=Attleboro" TargetMode="External"/><Relationship Id="rId29" Type="http://schemas.openxmlformats.org/officeDocument/2006/relationships/hyperlink" Target="https://lmpublicsearch.lm.doe.gov/lmsites/4355-s11381_bar.pdf" TargetMode="External"/><Relationship Id="rId24" Type="http://schemas.openxmlformats.org/officeDocument/2006/relationships/hyperlink" Target="https://www.nrc.gov/info-finder/fc/areva-eagle-rock-lc" TargetMode="External"/><Relationship Id="rId40" Type="http://schemas.openxmlformats.org/officeDocument/2006/relationships/hyperlink" Target="https://hanthony.com/aes/Projects/WestCole.htm" TargetMode="External"/><Relationship Id="rId45" Type="http://schemas.openxmlformats.org/officeDocument/2006/relationships/hyperlink" Target="https://www.nrc.gov/info-finder/decommissioning/uranium/american-nuclear-corporation" TargetMode="External"/><Relationship Id="rId66" Type="http://schemas.openxmlformats.org/officeDocument/2006/relationships/hyperlink" Target="https://hanthony.com/aes/Projects/Palangana.htm" TargetMode="External"/><Relationship Id="rId87" Type="http://schemas.openxmlformats.org/officeDocument/2006/relationships/hyperlink" Target="https://www.energy.gov/em/moab/overview-moab-umtra-project" TargetMode="External"/><Relationship Id="rId110" Type="http://schemas.openxmlformats.org/officeDocument/2006/relationships/hyperlink" Target="https://www.nrc.gov/docs/ML2319/ML23191A045.pdf" TargetMode="External"/><Relationship Id="rId115" Type="http://schemas.openxmlformats.org/officeDocument/2006/relationships/hyperlink" Target="https://www.nrc.gov/docs/ML2505/ML25057A062.pdf" TargetMode="External"/><Relationship Id="rId131" Type="http://schemas.openxmlformats.org/officeDocument/2006/relationships/hyperlink" Target="https://www.energy.gov/lm/articles/spook-wyoming-disposal-site-fact-sheet" TargetMode="External"/><Relationship Id="rId136" Type="http://schemas.openxmlformats.org/officeDocument/2006/relationships/hyperlink" Target="https://maps.app.goo.gl/VJMXzrwbFsrZ146V6" TargetMode="External"/><Relationship Id="rId61" Type="http://schemas.openxmlformats.org/officeDocument/2006/relationships/hyperlink" Target="https://www.eia.gov/uranium/production/annual/archive/dupr2023.pdf" TargetMode="External"/><Relationship Id="rId82" Type="http://schemas.openxmlformats.org/officeDocument/2006/relationships/hyperlink" Target="https://www.nrc.gov/info-finder/decommissioning/uranium/dawn-mining-company" TargetMode="External"/><Relationship Id="rId19" Type="http://schemas.openxmlformats.org/officeDocument/2006/relationships/hyperlink" Target="https://cumulis.epa.gov/supercpad/cursites/csitinfo.cfm?id=0504935" TargetMode="External"/><Relationship Id="rId14" Type="http://schemas.openxmlformats.org/officeDocument/2006/relationships/hyperlink" Target="https://unicoicounty.org/directory/nuclear-fuel-services/" TargetMode="External"/><Relationship Id="rId30" Type="http://schemas.openxmlformats.org/officeDocument/2006/relationships/hyperlink" Target="https://www.energy.gov/lm/articles/bluewater-new-mexico-disposal-site-fact-sheet" TargetMode="External"/><Relationship Id="rId35" Type="http://schemas.openxmlformats.org/officeDocument/2006/relationships/hyperlink" Target="https://www.nrc.gov/info-finder/decommissioning/uranium/united-nuclear-corporation" TargetMode="External"/><Relationship Id="rId56" Type="http://schemas.openxmlformats.org/officeDocument/2006/relationships/hyperlink" Target="https://minedocs.com/20/AltaMesa_Technical_Report_07282016.pdf" TargetMode="External"/><Relationship Id="rId77" Type="http://schemas.openxmlformats.org/officeDocument/2006/relationships/hyperlink" Target="https://maps.app.goo.gl/VjvQax61NEYzj5qF8" TargetMode="External"/><Relationship Id="rId100" Type="http://schemas.openxmlformats.org/officeDocument/2006/relationships/hyperlink" Target="https://www.nrc.gov/info-finder/decommissioning/uranium/pathfinder-shirley-basin" TargetMode="External"/><Relationship Id="rId105" Type="http://schemas.openxmlformats.org/officeDocument/2006/relationships/hyperlink" Target="https://downloads.regulations.gov/EPA-HQ-OAR-2012-0788-0225/attachment_106.pdf" TargetMode="External"/><Relationship Id="rId126" Type="http://schemas.openxmlformats.org/officeDocument/2006/relationships/hyperlink" Target="https://lmpublicsearch.lm.doe.gov/lmsites/4567-rvt00000133.pdf" TargetMode="External"/><Relationship Id="rId8" Type="http://schemas.openxmlformats.org/officeDocument/2006/relationships/hyperlink" Target="https://www.nrc.gov/info-finder/fc/triso-x" TargetMode="External"/><Relationship Id="rId51" Type="http://schemas.openxmlformats.org/officeDocument/2006/relationships/hyperlink" Target="https://www.eia.gov/uranium/production/annual/archive/dupr2023.pdf" TargetMode="External"/><Relationship Id="rId72" Type="http://schemas.openxmlformats.org/officeDocument/2006/relationships/hyperlink" Target="https://thediggings.com/mines/usgs10021594" TargetMode="External"/><Relationship Id="rId93" Type="http://schemas.openxmlformats.org/officeDocument/2006/relationships/hyperlink" Target="https://investors.energyfuels.com/news-releases?item=171" TargetMode="External"/><Relationship Id="rId98" Type="http://schemas.openxmlformats.org/officeDocument/2006/relationships/hyperlink" Target="https://encoreuranium.com/projects/south-texas-operations/" TargetMode="External"/><Relationship Id="rId121" Type="http://schemas.openxmlformats.org/officeDocument/2006/relationships/hyperlink" Target="https://www.energy.gov/lm/articles/lakeview-oregon-disposalprocessing-sites-fact-sheet" TargetMode="External"/><Relationship Id="rId142" Type="http://schemas.microsoft.com/office/2017/10/relationships/threadedComment" Target="../threadedComments/threadedComment1.xml"/><Relationship Id="rId3" Type="http://schemas.openxmlformats.org/officeDocument/2006/relationships/hyperlink" Target="https://encoreuranium.com/wp-content/uploads/2023/02/TechReport.pdf?utm" TargetMode="External"/><Relationship Id="rId25" Type="http://schemas.openxmlformats.org/officeDocument/2006/relationships/hyperlink" Target="https://www.nrc.gov/info-finder/fc/global-laser-enrichment-nc-lc" TargetMode="External"/><Relationship Id="rId46" Type="http://schemas.openxmlformats.org/officeDocument/2006/relationships/hyperlink" Target="https://www.nrc.gov/info-finder/decommissioning/uranium/umetco-minerals-corporation" TargetMode="External"/><Relationship Id="rId67" Type="http://schemas.openxmlformats.org/officeDocument/2006/relationships/hyperlink" Target="https://www.nrc.gov/docs/ML2406/ML24060A141.pdf" TargetMode="External"/><Relationship Id="rId116" Type="http://schemas.openxmlformats.org/officeDocument/2006/relationships/hyperlink" Target="https://www.nrc.gov/docs/ml1633/ML16337A048.pdf" TargetMode="External"/><Relationship Id="rId137" Type="http://schemas.openxmlformats.org/officeDocument/2006/relationships/hyperlink" Target="https://wcsecure.weblink.com.au/pdf/PEN/02907862.pdf" TargetMode="External"/><Relationship Id="rId20" Type="http://schemas.openxmlformats.org/officeDocument/2006/relationships/hyperlink" Target="https://www.energy.gov/sites/default/files/2024-04/Brief%20History%20of%20the%20West%20Valley%20Site_Paul%20Bembia%20508.pdf" TargetMode="External"/><Relationship Id="rId41" Type="http://schemas.openxmlformats.org/officeDocument/2006/relationships/hyperlink" Target="https://hanthony.com/aes/Projects/KVD.htm" TargetMode="External"/><Relationship Id="rId62" Type="http://schemas.openxmlformats.org/officeDocument/2006/relationships/hyperlink" Target="https://www.theupa.org/_resources/images/reclaimation/Reclaimed_Sites-8.jpg" TargetMode="External"/><Relationship Id="rId83" Type="http://schemas.openxmlformats.org/officeDocument/2006/relationships/hyperlink" Target="https://www.nrc.gov/info-finder/decommissioning/uranium/dawn-mining-company" TargetMode="External"/><Relationship Id="rId88" Type="http://schemas.openxmlformats.org/officeDocument/2006/relationships/hyperlink" Target="https://www.uraniumenergy.com/projects/wyoming/" TargetMode="External"/><Relationship Id="rId111" Type="http://schemas.openxmlformats.org/officeDocument/2006/relationships/hyperlink" Target="https://www.nrc.gov/info-finder/decommissioning/uranium/united-nuclear-corporation" TargetMode="External"/><Relationship Id="rId132" Type="http://schemas.openxmlformats.org/officeDocument/2006/relationships/hyperlink" Target="https://www.energy.gov/lm/articles/tuba-city-arizona-disposal-site-fact-sheet" TargetMode="External"/><Relationship Id="rId15" Type="http://schemas.openxmlformats.org/officeDocument/2006/relationships/hyperlink" Target="https://www.nrc.gov/info-finder/fc/iifp-lea-co-nm-lc" TargetMode="External"/><Relationship Id="rId36" Type="http://schemas.openxmlformats.org/officeDocument/2006/relationships/hyperlink" Target="https://www.epa.gov/sites/default/files/2015-05/documents/subpart-w-risk.pdf" TargetMode="External"/><Relationship Id="rId57" Type="http://schemas.openxmlformats.org/officeDocument/2006/relationships/hyperlink" Target="https://www.nrc.gov/docs/ML2012/ML20127A015.pdf" TargetMode="External"/><Relationship Id="rId106" Type="http://schemas.openxmlformats.org/officeDocument/2006/relationships/hyperlink" Target="https://www.nrc.gov/info-finder/decommissioning/uranium/umetco-uravan" TargetMode="External"/><Relationship Id="rId127" Type="http://schemas.openxmlformats.org/officeDocument/2006/relationships/hyperlink" Target="https://www.energy.gov/lm/articles/salt-lake-city-utah-disposal-and-processing-sites-fact-sheet" TargetMode="External"/><Relationship Id="rId10" Type="http://schemas.openxmlformats.org/officeDocument/2006/relationships/hyperlink" Target="https://www.youtube.com/watch?v=SS_vzdhtMJU" TargetMode="External"/><Relationship Id="rId31" Type="http://schemas.openxmlformats.org/officeDocument/2006/relationships/hyperlink" Target="https://thediggings.com/mines/usgs10021587" TargetMode="External"/><Relationship Id="rId52" Type="http://schemas.openxmlformats.org/officeDocument/2006/relationships/hyperlink" Target="https://www.eia.gov/uranium/production/annual/archive/dupr2023.pdf" TargetMode="External"/><Relationship Id="rId73" Type="http://schemas.openxmlformats.org/officeDocument/2006/relationships/hyperlink" Target="https://www.epa.gov/sites/default/files/2015-05/documents/Darling_2008.pdf" TargetMode="External"/><Relationship Id="rId78" Type="http://schemas.openxmlformats.org/officeDocument/2006/relationships/hyperlink" Target="https://d1io3yog0oux5.cloudfront.net/_c8f370752be33839cc5bd353348edcfa/urenergy/db/697/5519/file/20231231+Lost+Creek+TRS+v3+%283.1%29_REDUCED+SIZE.pdf" TargetMode="External"/><Relationship Id="rId94" Type="http://schemas.openxmlformats.org/officeDocument/2006/relationships/hyperlink" Target="https://www.epa.gov/sites/default/files/2015-05/documents/applicationforapprovalofconstructionful082610.pdf" TargetMode="External"/><Relationship Id="rId99" Type="http://schemas.openxmlformats.org/officeDocument/2006/relationships/hyperlink" Target="https://www.sec.gov/Archives/edgar/data/1500881/000119312525037583/d893278dex961.htm?utm" TargetMode="External"/><Relationship Id="rId101" Type="http://schemas.openxmlformats.org/officeDocument/2006/relationships/hyperlink" Target="https://www.wsgs.wyo.gov/products/wsgs-1968-mr-04.pdf" TargetMode="External"/><Relationship Id="rId122" Type="http://schemas.openxmlformats.org/officeDocument/2006/relationships/hyperlink" Target="https://www.energy.gov/lm/articles/maybell-colorado-disposal-site-fact-sheet" TargetMode="External"/><Relationship Id="rId4" Type="http://schemas.openxmlformats.org/officeDocument/2006/relationships/hyperlink" Target="https://www.nrc.gov/info-finder/decommissioning/uranium/rio-algom-ambrosia-lake.html" TargetMode="External"/><Relationship Id="rId9" Type="http://schemas.openxmlformats.org/officeDocument/2006/relationships/hyperlink" Target="https://www.energy.gov/lm/articles/colonie-new-york-site-fact-sheet" TargetMode="External"/><Relationship Id="rId26" Type="http://schemas.openxmlformats.org/officeDocument/2006/relationships/hyperlink" Target="https://www.energy.gov/sites/default/files/EIS-0471-FEIS-2011.pdf" TargetMode="External"/><Relationship Id="rId47" Type="http://schemas.openxmlformats.org/officeDocument/2006/relationships/hyperlink" Target="https://www.mining-technology.com/projects/goliadprojecttexas/" TargetMode="External"/><Relationship Id="rId68" Type="http://schemas.openxmlformats.org/officeDocument/2006/relationships/hyperlink" Target="https://www.mindat.org/loc-171368.html" TargetMode="External"/><Relationship Id="rId89" Type="http://schemas.openxmlformats.org/officeDocument/2006/relationships/hyperlink" Target="https://minedocs.com/20/AltaMesa_Technical_Report_07282016.pdf" TargetMode="External"/><Relationship Id="rId112" Type="http://schemas.openxmlformats.org/officeDocument/2006/relationships/hyperlink" Target="https://lmpublicsearch.lm.doe.gov/lmsites/2495-ufct00000039.pdf" TargetMode="External"/><Relationship Id="rId133" Type="http://schemas.openxmlformats.org/officeDocument/2006/relationships/hyperlink" Target="https://www.energy.gov/lm/articles/edgemont-south-dakota-disposal-site-fact-sheet" TargetMode="External"/><Relationship Id="rId16" Type="http://schemas.openxmlformats.org/officeDocument/2006/relationships/hyperlink" Target="https://www.energy.gov/srs/h-area-operation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F4DE5-2917-47C3-9942-7AD1538B447A}">
  <dimension ref="B2:S153"/>
  <sheetViews>
    <sheetView showGridLines="0" tabSelected="1" topLeftCell="A90" zoomScaleNormal="100" workbookViewId="0">
      <selection activeCell="A107" sqref="A107:XFD107"/>
    </sheetView>
  </sheetViews>
  <sheetFormatPr defaultRowHeight="12.5" x14ac:dyDescent="0.25"/>
  <cols>
    <col min="1" max="1" width="1.7265625" customWidth="1"/>
    <col min="2" max="2" width="15.81640625" customWidth="1"/>
    <col min="3" max="3" width="35.7265625" customWidth="1"/>
    <col min="4" max="4" width="30.7265625" customWidth="1"/>
    <col min="5" max="5" width="29.36328125" customWidth="1"/>
    <col min="6" max="6" width="8.7265625" customWidth="1"/>
    <col min="7" max="10" width="20.7265625" customWidth="1"/>
    <col min="12" max="12" width="9.453125" customWidth="1"/>
    <col min="16" max="16" width="15.453125" customWidth="1"/>
  </cols>
  <sheetData>
    <row r="2" spans="2:19" x14ac:dyDescent="0.25">
      <c r="B2" s="90" t="s">
        <v>0</v>
      </c>
      <c r="C2" s="91"/>
    </row>
    <row r="3" spans="2:19" ht="13" x14ac:dyDescent="0.3">
      <c r="B3" s="3" t="s">
        <v>1</v>
      </c>
      <c r="C3" s="2" t="s">
        <v>2</v>
      </c>
    </row>
    <row r="4" spans="2:19" ht="13" x14ac:dyDescent="0.3">
      <c r="B4" s="3" t="s">
        <v>3</v>
      </c>
      <c r="C4" s="2" t="s">
        <v>4</v>
      </c>
    </row>
    <row r="5" spans="2:19" ht="13" x14ac:dyDescent="0.3">
      <c r="B5" s="3" t="s">
        <v>5</v>
      </c>
      <c r="C5" s="2" t="s">
        <v>4</v>
      </c>
    </row>
    <row r="6" spans="2:19" ht="13" x14ac:dyDescent="0.3">
      <c r="B6" s="3" t="s">
        <v>6</v>
      </c>
      <c r="C6" s="2" t="s">
        <v>4</v>
      </c>
    </row>
    <row r="7" spans="2:19" ht="13" x14ac:dyDescent="0.3">
      <c r="B7" s="4" t="s">
        <v>7</v>
      </c>
      <c r="C7" s="1" t="s">
        <v>8</v>
      </c>
    </row>
    <row r="8" spans="2:19" ht="13" x14ac:dyDescent="0.3">
      <c r="M8" s="17"/>
    </row>
    <row r="9" spans="2:19" x14ac:dyDescent="0.25">
      <c r="B9" s="8" t="s">
        <v>205</v>
      </c>
      <c r="C9" s="7" t="s">
        <v>9</v>
      </c>
      <c r="D9" s="40" t="s">
        <v>252</v>
      </c>
      <c r="E9" s="6" t="s">
        <v>3</v>
      </c>
      <c r="F9" s="7" t="s">
        <v>10</v>
      </c>
      <c r="G9" s="6" t="s">
        <v>5</v>
      </c>
      <c r="H9" s="7" t="s">
        <v>11</v>
      </c>
      <c r="I9" s="6" t="s">
        <v>12</v>
      </c>
      <c r="J9" s="75" t="s">
        <v>13</v>
      </c>
      <c r="K9" s="10" t="s">
        <v>14</v>
      </c>
      <c r="L9" s="8" t="s">
        <v>206</v>
      </c>
      <c r="M9" s="8" t="s">
        <v>207</v>
      </c>
      <c r="N9" s="10" t="s">
        <v>275</v>
      </c>
      <c r="O9" s="6" t="s">
        <v>276</v>
      </c>
      <c r="P9" s="61" t="s">
        <v>219</v>
      </c>
      <c r="S9" t="s">
        <v>203</v>
      </c>
    </row>
    <row r="10" spans="2:19" x14ac:dyDescent="0.25">
      <c r="B10" s="9"/>
      <c r="C10" s="5" t="s">
        <v>158</v>
      </c>
      <c r="D10" s="43"/>
      <c r="E10" t="s">
        <v>159</v>
      </c>
      <c r="F10" s="5" t="s">
        <v>8</v>
      </c>
      <c r="G10" t="s">
        <v>20</v>
      </c>
      <c r="H10" s="5" t="s">
        <v>16</v>
      </c>
      <c r="I10" t="s">
        <v>138</v>
      </c>
      <c r="J10" s="54">
        <v>1954</v>
      </c>
      <c r="K10" s="11">
        <v>1956</v>
      </c>
      <c r="L10" s="22">
        <v>39.296070136015601</v>
      </c>
      <c r="M10" s="22">
        <v>-84.692487620657005</v>
      </c>
      <c r="N10" s="13"/>
      <c r="O10" s="12"/>
      <c r="P10" s="13"/>
      <c r="R10">
        <f>COUNTA(_xlfn.UNIQUE(Table1[Lat]))</f>
        <v>112</v>
      </c>
      <c r="S10" t="s">
        <v>204</v>
      </c>
    </row>
    <row r="11" spans="2:19" x14ac:dyDescent="0.25">
      <c r="B11" s="9"/>
      <c r="C11" s="5" t="s">
        <v>67</v>
      </c>
      <c r="D11" s="43"/>
      <c r="E11" t="s">
        <v>48</v>
      </c>
      <c r="F11" s="5" t="s">
        <v>8</v>
      </c>
      <c r="G11" t="s">
        <v>15</v>
      </c>
      <c r="H11" s="5" t="s">
        <v>16</v>
      </c>
      <c r="I11" t="s">
        <v>68</v>
      </c>
      <c r="J11" s="54">
        <v>1964</v>
      </c>
      <c r="K11" s="11"/>
      <c r="L11" s="22">
        <v>37.171522389603901</v>
      </c>
      <c r="M11" s="22">
        <v>-88.754895565808496</v>
      </c>
      <c r="N11" s="13"/>
      <c r="O11" s="12"/>
      <c r="P11" s="13"/>
      <c r="S11" t="s">
        <v>218</v>
      </c>
    </row>
    <row r="12" spans="2:19" x14ac:dyDescent="0.25">
      <c r="B12" s="9"/>
      <c r="C12" s="5" t="s">
        <v>47</v>
      </c>
      <c r="D12" s="43"/>
      <c r="E12" t="s">
        <v>48</v>
      </c>
      <c r="F12" s="5" t="s">
        <v>8</v>
      </c>
      <c r="G12" t="s">
        <v>49</v>
      </c>
      <c r="H12" s="5" t="s">
        <v>16</v>
      </c>
      <c r="I12" t="s">
        <v>50</v>
      </c>
      <c r="J12" s="54">
        <v>1970</v>
      </c>
      <c r="K12" s="11">
        <v>1993</v>
      </c>
      <c r="L12" s="22">
        <v>35.502314222063397</v>
      </c>
      <c r="M12" s="22">
        <v>-95.083024978553993</v>
      </c>
      <c r="N12" s="13"/>
      <c r="O12" s="12"/>
      <c r="P12" s="13"/>
    </row>
    <row r="13" spans="2:19" x14ac:dyDescent="0.25">
      <c r="B13" s="9"/>
      <c r="C13" s="27" t="s">
        <v>216</v>
      </c>
      <c r="D13" s="43" t="s">
        <v>259</v>
      </c>
      <c r="E13" t="s">
        <v>172</v>
      </c>
      <c r="F13" s="5" t="s">
        <v>8</v>
      </c>
      <c r="G13" t="s">
        <v>15</v>
      </c>
      <c r="H13" s="5" t="s">
        <v>16</v>
      </c>
      <c r="I13" t="s">
        <v>102</v>
      </c>
      <c r="J13" s="54">
        <v>1972</v>
      </c>
      <c r="K13" s="11"/>
      <c r="L13" s="22">
        <v>46.349532230724201</v>
      </c>
      <c r="M13" s="22">
        <v>-119.301937006221</v>
      </c>
      <c r="N13" s="13"/>
      <c r="O13" s="12"/>
      <c r="P13" s="13"/>
      <c r="S13" s="12" t="s">
        <v>208</v>
      </c>
    </row>
    <row r="14" spans="2:19" x14ac:dyDescent="0.25">
      <c r="B14" s="9"/>
      <c r="C14" s="5" t="s">
        <v>171</v>
      </c>
      <c r="D14" s="43"/>
      <c r="E14" t="s">
        <v>172</v>
      </c>
      <c r="F14" s="5" t="s">
        <v>8</v>
      </c>
      <c r="G14" t="s">
        <v>20</v>
      </c>
      <c r="H14" s="5" t="s">
        <v>16</v>
      </c>
      <c r="I14" t="s">
        <v>138</v>
      </c>
      <c r="J14" s="76">
        <v>1957</v>
      </c>
      <c r="K14" s="83">
        <v>1966</v>
      </c>
      <c r="L14" s="22">
        <v>38.698189028907898</v>
      </c>
      <c r="M14" s="22">
        <v>-90.7279631801688</v>
      </c>
      <c r="N14" s="13"/>
      <c r="O14" s="12"/>
      <c r="P14" s="13"/>
      <c r="S14" s="18" t="s">
        <v>211</v>
      </c>
    </row>
    <row r="15" spans="2:19" x14ac:dyDescent="0.25">
      <c r="B15" s="9"/>
      <c r="C15" s="5" t="s">
        <v>142</v>
      </c>
      <c r="D15" s="43"/>
      <c r="E15" t="s">
        <v>147</v>
      </c>
      <c r="F15" s="5" t="s">
        <v>8</v>
      </c>
      <c r="G15" t="s">
        <v>49</v>
      </c>
      <c r="H15" s="5" t="s">
        <v>24</v>
      </c>
      <c r="I15" t="s">
        <v>138</v>
      </c>
      <c r="J15" s="54">
        <v>1956</v>
      </c>
      <c r="K15" s="11">
        <v>1972</v>
      </c>
      <c r="L15" s="9"/>
      <c r="M15" s="9"/>
      <c r="N15" s="11"/>
      <c r="P15" s="11" t="s">
        <v>142</v>
      </c>
      <c r="S15" s="16" t="s">
        <v>209</v>
      </c>
    </row>
    <row r="16" spans="2:19" x14ac:dyDescent="0.25">
      <c r="B16" s="9"/>
      <c r="C16" s="5" t="s">
        <v>199</v>
      </c>
      <c r="D16" s="43"/>
      <c r="E16" t="s">
        <v>200</v>
      </c>
      <c r="F16" s="5" t="s">
        <v>8</v>
      </c>
      <c r="G16" s="15" t="s">
        <v>148</v>
      </c>
      <c r="H16" s="5" t="s">
        <v>152</v>
      </c>
      <c r="I16" t="s">
        <v>183</v>
      </c>
      <c r="J16" s="77">
        <v>2023</v>
      </c>
      <c r="K16" s="11"/>
      <c r="L16" s="9"/>
      <c r="M16" s="9"/>
      <c r="N16" s="11"/>
      <c r="P16" s="11" t="s">
        <v>220</v>
      </c>
      <c r="S16" s="14" t="s">
        <v>210</v>
      </c>
    </row>
    <row r="17" spans="2:19" x14ac:dyDescent="0.25">
      <c r="B17" s="9"/>
      <c r="C17" s="5" t="s">
        <v>180</v>
      </c>
      <c r="D17" s="43"/>
      <c r="E17" t="s">
        <v>181</v>
      </c>
      <c r="F17" s="5" t="s">
        <v>8</v>
      </c>
      <c r="G17" t="s">
        <v>15</v>
      </c>
      <c r="H17" s="5" t="s">
        <v>16</v>
      </c>
      <c r="I17" t="s">
        <v>141</v>
      </c>
      <c r="J17" s="54">
        <v>1982</v>
      </c>
      <c r="K17" s="11"/>
      <c r="L17" s="23">
        <v>37.411577522868697</v>
      </c>
      <c r="M17" s="23">
        <v>-79.052393640416</v>
      </c>
      <c r="N17" s="19"/>
      <c r="O17" s="44"/>
      <c r="P17" s="19"/>
      <c r="S17" s="26" t="s">
        <v>230</v>
      </c>
    </row>
    <row r="18" spans="2:19" x14ac:dyDescent="0.25">
      <c r="B18" s="9"/>
      <c r="C18" s="5" t="s">
        <v>17</v>
      </c>
      <c r="D18" s="43"/>
      <c r="E18" t="s">
        <v>18</v>
      </c>
      <c r="F18" s="5" t="s">
        <v>19</v>
      </c>
      <c r="G18" t="s">
        <v>20</v>
      </c>
      <c r="H18" s="5" t="s">
        <v>16</v>
      </c>
      <c r="I18" t="s">
        <v>21</v>
      </c>
      <c r="J18" s="54">
        <v>1957</v>
      </c>
      <c r="K18" s="11">
        <v>1986</v>
      </c>
      <c r="L18" s="23">
        <v>40.586565245997903</v>
      </c>
      <c r="M18" s="23">
        <v>-79.567514263198206</v>
      </c>
      <c r="N18" s="19"/>
      <c r="O18" s="44"/>
      <c r="P18" s="19"/>
    </row>
    <row r="19" spans="2:19" x14ac:dyDescent="0.25">
      <c r="B19" s="9"/>
      <c r="C19" s="5" t="s">
        <v>39</v>
      </c>
      <c r="D19" s="43"/>
      <c r="E19" t="s">
        <v>18</v>
      </c>
      <c r="F19" s="5" t="s">
        <v>40</v>
      </c>
      <c r="G19" t="s">
        <v>15</v>
      </c>
      <c r="H19" s="5" t="s">
        <v>16</v>
      </c>
      <c r="I19" t="s">
        <v>41</v>
      </c>
      <c r="J19" s="54">
        <v>1969</v>
      </c>
      <c r="K19" s="11"/>
      <c r="L19" s="23">
        <v>33.8827583067497</v>
      </c>
      <c r="M19" s="23">
        <v>-80.919505581764497</v>
      </c>
      <c r="N19" s="19"/>
      <c r="O19" s="44"/>
      <c r="P19" s="19"/>
    </row>
    <row r="20" spans="2:19" x14ac:dyDescent="0.25">
      <c r="B20" s="9"/>
      <c r="C20" s="5" t="s">
        <v>163</v>
      </c>
      <c r="D20" s="43"/>
      <c r="E20" t="s">
        <v>18</v>
      </c>
      <c r="F20" s="5" t="s">
        <v>8</v>
      </c>
      <c r="G20" t="s">
        <v>20</v>
      </c>
      <c r="H20" s="5" t="s">
        <v>16</v>
      </c>
      <c r="I20" t="s">
        <v>138</v>
      </c>
      <c r="J20" s="54">
        <v>1952</v>
      </c>
      <c r="K20" s="11">
        <v>1981</v>
      </c>
      <c r="L20" s="24">
        <v>41.942830316346203</v>
      </c>
      <c r="M20" s="24">
        <v>-71.235084403286393</v>
      </c>
      <c r="N20" s="21"/>
      <c r="O20" s="46"/>
      <c r="P20" s="21"/>
      <c r="S20" t="s">
        <v>258</v>
      </c>
    </row>
    <row r="21" spans="2:19" x14ac:dyDescent="0.25">
      <c r="B21" s="9"/>
      <c r="C21" s="31" t="s">
        <v>224</v>
      </c>
      <c r="D21" s="43"/>
      <c r="E21" t="s">
        <v>18</v>
      </c>
      <c r="F21" s="5" t="s">
        <v>201</v>
      </c>
      <c r="G21" s="16" t="s">
        <v>15</v>
      </c>
      <c r="H21" s="5" t="s">
        <v>152</v>
      </c>
      <c r="I21" t="s">
        <v>202</v>
      </c>
      <c r="J21" s="54">
        <v>2024</v>
      </c>
      <c r="K21" s="11"/>
      <c r="L21" s="23">
        <v>39.013098644047702</v>
      </c>
      <c r="M21" s="23">
        <v>-83.000836517109093</v>
      </c>
      <c r="N21" s="19"/>
      <c r="O21" s="44"/>
      <c r="P21" s="19"/>
      <c r="S21" s="15"/>
    </row>
    <row r="22" spans="2:19" x14ac:dyDescent="0.25">
      <c r="B22" s="9"/>
      <c r="C22" s="5" t="s">
        <v>142</v>
      </c>
      <c r="D22" s="43"/>
      <c r="E22" t="s">
        <v>18</v>
      </c>
      <c r="F22" s="5" t="s">
        <v>8</v>
      </c>
      <c r="G22" t="s">
        <v>49</v>
      </c>
      <c r="H22" s="5" t="s">
        <v>24</v>
      </c>
      <c r="I22" t="s">
        <v>138</v>
      </c>
      <c r="J22" s="54">
        <v>1961</v>
      </c>
      <c r="K22" s="11">
        <v>1989</v>
      </c>
      <c r="L22" s="9"/>
      <c r="M22" s="9"/>
      <c r="N22" s="11"/>
      <c r="P22" s="11" t="s">
        <v>142</v>
      </c>
      <c r="S22" s="15"/>
    </row>
    <row r="23" spans="2:19" x14ac:dyDescent="0.25">
      <c r="B23" s="9"/>
      <c r="C23" s="5" t="s">
        <v>51</v>
      </c>
      <c r="D23" s="43"/>
      <c r="E23" t="s">
        <v>18</v>
      </c>
      <c r="F23" s="5" t="s">
        <v>52</v>
      </c>
      <c r="G23" t="s">
        <v>53</v>
      </c>
      <c r="H23" s="5" t="s">
        <v>16</v>
      </c>
      <c r="I23" t="s">
        <v>54</v>
      </c>
      <c r="J23" s="54">
        <v>1986</v>
      </c>
      <c r="K23" s="11">
        <v>2001</v>
      </c>
      <c r="L23" s="24">
        <v>38.208784028441499</v>
      </c>
      <c r="M23" s="24">
        <v>-90.475675071882605</v>
      </c>
      <c r="N23" s="21"/>
      <c r="O23" s="46"/>
      <c r="P23" s="21"/>
    </row>
    <row r="24" spans="2:19" x14ac:dyDescent="0.25">
      <c r="B24" s="9"/>
      <c r="C24" s="5" t="s">
        <v>173</v>
      </c>
      <c r="D24" s="43"/>
      <c r="E24" t="s">
        <v>18</v>
      </c>
      <c r="F24" s="5" t="s">
        <v>8</v>
      </c>
      <c r="G24" t="s">
        <v>20</v>
      </c>
      <c r="H24" s="5" t="s">
        <v>16</v>
      </c>
      <c r="I24" t="s">
        <v>138</v>
      </c>
      <c r="J24" s="54">
        <v>1950</v>
      </c>
      <c r="K24" s="11">
        <v>1984</v>
      </c>
      <c r="L24" s="23">
        <v>37.407853299562703</v>
      </c>
      <c r="M24" s="23">
        <v>-79.213543460581803</v>
      </c>
      <c r="N24" s="19"/>
      <c r="O24" s="44"/>
      <c r="P24" s="62" t="s">
        <v>221</v>
      </c>
    </row>
    <row r="25" spans="2:19" x14ac:dyDescent="0.25">
      <c r="B25" s="9"/>
      <c r="C25" s="5" t="s">
        <v>215</v>
      </c>
      <c r="D25" s="43" t="s">
        <v>259</v>
      </c>
      <c r="E25" t="s">
        <v>18</v>
      </c>
      <c r="F25" s="5" t="s">
        <v>40</v>
      </c>
      <c r="G25" t="s">
        <v>15</v>
      </c>
      <c r="H25" s="5" t="s">
        <v>16</v>
      </c>
      <c r="I25" t="s">
        <v>66</v>
      </c>
      <c r="J25" s="54">
        <v>1982</v>
      </c>
      <c r="K25" s="11"/>
      <c r="L25" s="23">
        <v>37.407853299562703</v>
      </c>
      <c r="M25" s="23">
        <v>-79.213543460581803</v>
      </c>
      <c r="N25" s="19"/>
      <c r="O25" s="44"/>
      <c r="P25" s="19"/>
    </row>
    <row r="26" spans="2:19" x14ac:dyDescent="0.25">
      <c r="B26" s="9"/>
      <c r="C26" s="27" t="s">
        <v>216</v>
      </c>
      <c r="D26" s="43" t="s">
        <v>259</v>
      </c>
      <c r="E26" t="s">
        <v>18</v>
      </c>
      <c r="F26" s="5" t="s">
        <v>52</v>
      </c>
      <c r="G26" t="s">
        <v>15</v>
      </c>
      <c r="H26" s="5" t="s">
        <v>16</v>
      </c>
      <c r="I26" t="s">
        <v>91</v>
      </c>
      <c r="J26" s="54">
        <v>1972</v>
      </c>
      <c r="K26" s="11"/>
      <c r="L26" s="23">
        <v>46.349532230724201</v>
      </c>
      <c r="M26" s="23">
        <v>-119.301937006221</v>
      </c>
      <c r="N26" s="19"/>
      <c r="O26" s="44"/>
      <c r="P26" s="19"/>
    </row>
    <row r="27" spans="2:19" x14ac:dyDescent="0.25">
      <c r="B27" s="9"/>
      <c r="C27" s="5" t="s">
        <v>160</v>
      </c>
      <c r="D27" s="43"/>
      <c r="E27" t="s">
        <v>18</v>
      </c>
      <c r="F27" s="5" t="s">
        <v>8</v>
      </c>
      <c r="G27" s="15" t="s">
        <v>20</v>
      </c>
      <c r="H27" s="5" t="s">
        <v>16</v>
      </c>
      <c r="I27" t="s">
        <v>138</v>
      </c>
      <c r="J27" s="54">
        <v>1962</v>
      </c>
      <c r="K27" s="11">
        <v>1988</v>
      </c>
      <c r="L27" s="24">
        <v>41.889000000000003</v>
      </c>
      <c r="M27" s="24">
        <v>-80.777000000000001</v>
      </c>
      <c r="N27" s="21"/>
      <c r="O27" s="46"/>
      <c r="P27" s="21"/>
    </row>
    <row r="28" spans="2:19" x14ac:dyDescent="0.25">
      <c r="B28" s="9"/>
      <c r="C28" s="5" t="s">
        <v>139</v>
      </c>
      <c r="D28" s="43"/>
      <c r="E28" t="s">
        <v>18</v>
      </c>
      <c r="F28" s="5" t="s">
        <v>8</v>
      </c>
      <c r="G28" t="s">
        <v>148</v>
      </c>
      <c r="H28" s="5" t="s">
        <v>152</v>
      </c>
      <c r="I28" t="s">
        <v>153</v>
      </c>
      <c r="J28" s="54">
        <v>1978</v>
      </c>
      <c r="K28" s="11">
        <v>1985</v>
      </c>
      <c r="L28" s="9"/>
      <c r="M28" s="9"/>
      <c r="N28" s="11"/>
      <c r="P28" s="11" t="s">
        <v>222</v>
      </c>
    </row>
    <row r="29" spans="2:19" x14ac:dyDescent="0.25">
      <c r="B29" s="9"/>
      <c r="C29" s="5" t="s">
        <v>164</v>
      </c>
      <c r="D29" s="43"/>
      <c r="E29" t="s">
        <v>18</v>
      </c>
      <c r="F29" s="5" t="s">
        <v>8</v>
      </c>
      <c r="G29" t="s">
        <v>20</v>
      </c>
      <c r="H29" s="5" t="s">
        <v>16</v>
      </c>
      <c r="I29" t="s">
        <v>138</v>
      </c>
      <c r="J29" s="54">
        <v>1957</v>
      </c>
      <c r="K29" s="11">
        <v>1966</v>
      </c>
      <c r="L29" s="24">
        <v>42.690331079690097</v>
      </c>
      <c r="M29" s="24">
        <v>-73.803168323910597</v>
      </c>
      <c r="N29" s="21"/>
      <c r="O29" s="46"/>
      <c r="P29" s="21"/>
    </row>
    <row r="30" spans="2:19" x14ac:dyDescent="0.25">
      <c r="B30" s="9"/>
      <c r="C30" s="5" t="s">
        <v>167</v>
      </c>
      <c r="D30" s="43"/>
      <c r="E30" t="s">
        <v>18</v>
      </c>
      <c r="F30" s="5" t="s">
        <v>8</v>
      </c>
      <c r="G30" t="s">
        <v>20</v>
      </c>
      <c r="H30" s="5" t="s">
        <v>16</v>
      </c>
      <c r="I30" t="s">
        <v>138</v>
      </c>
      <c r="J30" s="54">
        <v>1962</v>
      </c>
      <c r="K30" s="11">
        <v>1978</v>
      </c>
      <c r="L30" s="24">
        <v>37.303554607628698</v>
      </c>
      <c r="M30" s="24">
        <v>-121.86693161362599</v>
      </c>
      <c r="N30" s="21"/>
      <c r="O30" s="46"/>
      <c r="P30" s="21"/>
    </row>
    <row r="31" spans="2:19" x14ac:dyDescent="0.25">
      <c r="B31" s="9"/>
      <c r="C31" s="29" t="s">
        <v>162</v>
      </c>
      <c r="D31" s="43"/>
      <c r="E31" t="s">
        <v>18</v>
      </c>
      <c r="F31" s="5" t="s">
        <v>8</v>
      </c>
      <c r="G31" t="s">
        <v>20</v>
      </c>
      <c r="H31" s="29" t="s">
        <v>217</v>
      </c>
      <c r="I31" t="s">
        <v>138</v>
      </c>
      <c r="J31" s="54">
        <v>1967</v>
      </c>
      <c r="K31" s="11">
        <v>1986</v>
      </c>
      <c r="L31" s="9"/>
      <c r="M31" s="9"/>
      <c r="N31" s="11"/>
      <c r="P31" s="11"/>
    </row>
    <row r="32" spans="2:19" x14ac:dyDescent="0.25">
      <c r="B32" s="9"/>
      <c r="C32" s="34" t="s">
        <v>103</v>
      </c>
      <c r="D32" s="43"/>
      <c r="E32" t="s">
        <v>18</v>
      </c>
      <c r="F32" s="5" t="s">
        <v>104</v>
      </c>
      <c r="G32" t="s">
        <v>15</v>
      </c>
      <c r="H32" s="5" t="s">
        <v>16</v>
      </c>
      <c r="I32" t="s">
        <v>105</v>
      </c>
      <c r="J32" s="54">
        <v>1982</v>
      </c>
      <c r="K32" s="11"/>
      <c r="L32" s="23">
        <v>34.321740263044099</v>
      </c>
      <c r="M32" s="23">
        <v>-77.923259706593598</v>
      </c>
      <c r="N32" s="19"/>
      <c r="O32" s="44"/>
      <c r="P32" s="19"/>
    </row>
    <row r="33" spans="2:16" x14ac:dyDescent="0.25">
      <c r="B33" s="9"/>
      <c r="C33" s="5" t="s">
        <v>168</v>
      </c>
      <c r="D33" s="43"/>
      <c r="E33" t="s">
        <v>144</v>
      </c>
      <c r="F33" s="5" t="s">
        <v>8</v>
      </c>
      <c r="G33" t="s">
        <v>20</v>
      </c>
      <c r="H33" s="5" t="s">
        <v>24</v>
      </c>
      <c r="I33" t="s">
        <v>138</v>
      </c>
      <c r="J33" s="54">
        <v>1962</v>
      </c>
      <c r="K33" s="11">
        <v>1979</v>
      </c>
      <c r="L33" s="24">
        <v>37.613312240166699</v>
      </c>
      <c r="M33" s="24">
        <v>-121.840178812386</v>
      </c>
      <c r="N33" s="21"/>
      <c r="O33" s="46"/>
      <c r="P33" s="21"/>
    </row>
    <row r="34" spans="2:16" x14ac:dyDescent="0.25">
      <c r="B34" s="9"/>
      <c r="C34" s="5" t="s">
        <v>165</v>
      </c>
      <c r="D34" s="43"/>
      <c r="E34" t="s">
        <v>144</v>
      </c>
      <c r="F34" s="5" t="s">
        <v>8</v>
      </c>
      <c r="G34" t="s">
        <v>20</v>
      </c>
      <c r="H34" s="5" t="s">
        <v>24</v>
      </c>
      <c r="I34" t="s">
        <v>138</v>
      </c>
      <c r="J34" s="54">
        <v>1960</v>
      </c>
      <c r="K34" s="11">
        <v>1990</v>
      </c>
      <c r="L34" s="73">
        <v>41.713060402777003</v>
      </c>
      <c r="M34" s="55">
        <v>-87.979949598153297</v>
      </c>
      <c r="N34" s="58"/>
      <c r="O34" s="45"/>
      <c r="P34" s="62" t="s">
        <v>223</v>
      </c>
    </row>
    <row r="35" spans="2:16" x14ac:dyDescent="0.25">
      <c r="B35" s="9"/>
      <c r="C35" s="5" t="s">
        <v>151</v>
      </c>
      <c r="D35" s="43"/>
      <c r="E35" t="s">
        <v>144</v>
      </c>
      <c r="F35" s="5" t="s">
        <v>8</v>
      </c>
      <c r="G35" t="s">
        <v>113</v>
      </c>
      <c r="H35" s="5" t="s">
        <v>16</v>
      </c>
      <c r="I35" t="s">
        <v>138</v>
      </c>
      <c r="J35" s="54"/>
      <c r="K35" s="11"/>
      <c r="L35" s="9"/>
      <c r="M35" s="9"/>
      <c r="N35" s="11"/>
      <c r="P35" s="11" t="s">
        <v>222</v>
      </c>
    </row>
    <row r="36" spans="2:16" x14ac:dyDescent="0.25">
      <c r="B36" s="9"/>
      <c r="C36" s="5" t="s">
        <v>161</v>
      </c>
      <c r="D36" s="43"/>
      <c r="E36" t="s">
        <v>144</v>
      </c>
      <c r="F36" s="5" t="s">
        <v>8</v>
      </c>
      <c r="G36" t="s">
        <v>53</v>
      </c>
      <c r="H36" s="5" t="s">
        <v>16</v>
      </c>
      <c r="I36" t="s">
        <v>138</v>
      </c>
      <c r="J36" s="54">
        <v>1944</v>
      </c>
      <c r="K36" s="11">
        <v>1978</v>
      </c>
      <c r="L36" s="9"/>
      <c r="M36" s="9"/>
      <c r="N36" s="11"/>
      <c r="P36" s="11" t="s">
        <v>221</v>
      </c>
    </row>
    <row r="37" spans="2:16" x14ac:dyDescent="0.25">
      <c r="B37" s="9"/>
      <c r="C37" s="5" t="s">
        <v>149</v>
      </c>
      <c r="D37" s="43"/>
      <c r="E37" t="s">
        <v>144</v>
      </c>
      <c r="F37" s="5" t="s">
        <v>8</v>
      </c>
      <c r="G37" t="s">
        <v>36</v>
      </c>
      <c r="H37" s="5" t="s">
        <v>24</v>
      </c>
      <c r="I37" t="s">
        <v>138</v>
      </c>
      <c r="J37" s="54"/>
      <c r="K37" s="11"/>
      <c r="L37" s="9"/>
      <c r="M37" s="9"/>
      <c r="N37" s="11"/>
      <c r="P37" s="11" t="s">
        <v>142</v>
      </c>
    </row>
    <row r="38" spans="2:16" x14ac:dyDescent="0.25">
      <c r="B38" s="9"/>
      <c r="C38" s="5" t="s">
        <v>143</v>
      </c>
      <c r="D38" s="43"/>
      <c r="E38" t="s">
        <v>144</v>
      </c>
      <c r="F38" s="5" t="s">
        <v>8</v>
      </c>
      <c r="G38" t="s">
        <v>49</v>
      </c>
      <c r="H38" s="5" t="s">
        <v>24</v>
      </c>
      <c r="I38" t="s">
        <v>138</v>
      </c>
      <c r="J38" s="54">
        <v>1949</v>
      </c>
      <c r="K38" s="11">
        <v>1989</v>
      </c>
      <c r="L38" s="9"/>
      <c r="M38" s="9"/>
      <c r="N38" s="11"/>
      <c r="P38" s="11" t="s">
        <v>142</v>
      </c>
    </row>
    <row r="39" spans="2:16" x14ac:dyDescent="0.25">
      <c r="B39" s="9"/>
      <c r="C39" s="5" t="s">
        <v>195</v>
      </c>
      <c r="D39" s="43"/>
      <c r="E39" t="s">
        <v>144</v>
      </c>
      <c r="F39" s="5" t="s">
        <v>8</v>
      </c>
      <c r="G39" s="16" t="s">
        <v>231</v>
      </c>
      <c r="H39" s="5"/>
      <c r="I39" t="s">
        <v>183</v>
      </c>
      <c r="J39" s="78">
        <v>2016</v>
      </c>
      <c r="K39" s="11"/>
      <c r="L39" s="9"/>
      <c r="M39" s="9"/>
      <c r="N39" s="11"/>
      <c r="P39" s="11" t="s">
        <v>222</v>
      </c>
    </row>
    <row r="40" spans="2:16" x14ac:dyDescent="0.25">
      <c r="B40" s="9"/>
      <c r="C40" s="5" t="s">
        <v>170</v>
      </c>
      <c r="D40" s="43"/>
      <c r="E40" t="s">
        <v>144</v>
      </c>
      <c r="F40" s="5" t="s">
        <v>8</v>
      </c>
      <c r="G40" t="s">
        <v>20</v>
      </c>
      <c r="H40" s="5" t="s">
        <v>16</v>
      </c>
      <c r="I40" t="s">
        <v>138</v>
      </c>
      <c r="J40" s="54">
        <v>1965</v>
      </c>
      <c r="K40" s="11">
        <v>1972</v>
      </c>
      <c r="L40" s="24">
        <v>36.130170992551598</v>
      </c>
      <c r="M40" s="56">
        <v>-82.432656580739405</v>
      </c>
      <c r="N40" s="21"/>
      <c r="O40" s="46"/>
      <c r="P40" s="11"/>
    </row>
    <row r="41" spans="2:16" x14ac:dyDescent="0.25">
      <c r="B41" s="9"/>
      <c r="C41" s="5" t="s">
        <v>169</v>
      </c>
      <c r="D41" s="43"/>
      <c r="E41" t="s">
        <v>144</v>
      </c>
      <c r="F41" s="5" t="s">
        <v>8</v>
      </c>
      <c r="G41" t="s">
        <v>20</v>
      </c>
      <c r="H41" s="5" t="s">
        <v>24</v>
      </c>
      <c r="I41" t="s">
        <v>138</v>
      </c>
      <c r="J41" s="54">
        <v>1967</v>
      </c>
      <c r="K41" s="11">
        <v>1980</v>
      </c>
      <c r="L41" s="24">
        <v>34.238019686224703</v>
      </c>
      <c r="M41" s="56">
        <v>-118.67353428691401</v>
      </c>
      <c r="N41" s="21"/>
      <c r="O41" s="46"/>
      <c r="P41" s="11"/>
    </row>
    <row r="42" spans="2:16" x14ac:dyDescent="0.25">
      <c r="B42" s="9"/>
      <c r="C42" s="5" t="s">
        <v>166</v>
      </c>
      <c r="D42" s="43"/>
      <c r="E42" t="s">
        <v>144</v>
      </c>
      <c r="F42" s="5" t="s">
        <v>8</v>
      </c>
      <c r="G42" t="s">
        <v>20</v>
      </c>
      <c r="H42" s="5" t="s">
        <v>152</v>
      </c>
      <c r="I42" t="s">
        <v>138</v>
      </c>
      <c r="J42" s="54">
        <v>1959</v>
      </c>
      <c r="K42" s="11">
        <v>1973</v>
      </c>
      <c r="L42" s="9"/>
      <c r="M42" s="9"/>
      <c r="N42" s="11"/>
      <c r="P42" s="11" t="s">
        <v>223</v>
      </c>
    </row>
    <row r="43" spans="2:16" x14ac:dyDescent="0.25">
      <c r="B43" s="9"/>
      <c r="C43" s="30" t="s">
        <v>128</v>
      </c>
      <c r="D43" s="43"/>
      <c r="E43" t="s">
        <v>154</v>
      </c>
      <c r="F43" s="5" t="s">
        <v>8</v>
      </c>
      <c r="G43" t="s">
        <v>113</v>
      </c>
      <c r="H43" s="5" t="s">
        <v>16</v>
      </c>
      <c r="I43" t="s">
        <v>138</v>
      </c>
      <c r="J43" s="54"/>
      <c r="K43" s="11"/>
      <c r="L43" s="23">
        <v>33.245528481570297</v>
      </c>
      <c r="M43" s="37">
        <v>-81.468987972091597</v>
      </c>
      <c r="N43" s="19"/>
      <c r="O43" s="44"/>
      <c r="P43" s="11"/>
    </row>
    <row r="44" spans="2:16" x14ac:dyDescent="0.25">
      <c r="B44" s="9"/>
      <c r="C44" s="5" t="s">
        <v>189</v>
      </c>
      <c r="D44" s="43"/>
      <c r="E44" t="s">
        <v>154</v>
      </c>
      <c r="F44" s="5" t="s">
        <v>8</v>
      </c>
      <c r="G44" t="s">
        <v>113</v>
      </c>
      <c r="H44" s="5" t="s">
        <v>16</v>
      </c>
      <c r="I44" t="s">
        <v>190</v>
      </c>
      <c r="J44" s="54">
        <v>2013</v>
      </c>
      <c r="K44" s="11"/>
      <c r="L44" s="24">
        <v>32.700156104386899</v>
      </c>
      <c r="M44" s="56">
        <v>-103.34803053444</v>
      </c>
      <c r="N44" s="21"/>
      <c r="O44" s="46"/>
      <c r="P44" s="11"/>
    </row>
    <row r="45" spans="2:16" x14ac:dyDescent="0.25">
      <c r="B45" s="9"/>
      <c r="C45" s="33" t="s">
        <v>156</v>
      </c>
      <c r="D45" s="43"/>
      <c r="E45" t="s">
        <v>154</v>
      </c>
      <c r="F45" s="5" t="s">
        <v>8</v>
      </c>
      <c r="G45" t="s">
        <v>15</v>
      </c>
      <c r="H45" s="5" t="s">
        <v>16</v>
      </c>
      <c r="I45" t="s">
        <v>157</v>
      </c>
      <c r="J45" s="54">
        <v>2010</v>
      </c>
      <c r="K45" s="11"/>
      <c r="L45" s="23">
        <v>37.111892067151501</v>
      </c>
      <c r="M45" s="37">
        <v>-88.806251518946397</v>
      </c>
      <c r="N45" s="19"/>
      <c r="O45" s="44"/>
      <c r="P45" s="11"/>
    </row>
    <row r="46" spans="2:16" x14ac:dyDescent="0.25">
      <c r="B46" s="9"/>
      <c r="C46" s="31" t="s">
        <v>225</v>
      </c>
      <c r="D46" s="43"/>
      <c r="E46" t="s">
        <v>154</v>
      </c>
      <c r="F46" s="5" t="s">
        <v>8</v>
      </c>
      <c r="G46" t="s">
        <v>15</v>
      </c>
      <c r="H46" s="5" t="s">
        <v>16</v>
      </c>
      <c r="I46" t="s">
        <v>155</v>
      </c>
      <c r="J46" s="54">
        <v>2010</v>
      </c>
      <c r="K46" s="11"/>
      <c r="L46" s="73">
        <v>39.013098644047702</v>
      </c>
      <c r="M46" s="55">
        <v>-83.000836517109093</v>
      </c>
      <c r="N46" s="58"/>
      <c r="O46" s="45"/>
      <c r="P46" s="11"/>
    </row>
    <row r="47" spans="2:16" x14ac:dyDescent="0.25">
      <c r="B47" s="9"/>
      <c r="C47" s="30" t="s">
        <v>128</v>
      </c>
      <c r="D47" s="43"/>
      <c r="E47" t="s">
        <v>123</v>
      </c>
      <c r="F47" s="5" t="s">
        <v>8</v>
      </c>
      <c r="G47" t="s">
        <v>113</v>
      </c>
      <c r="H47" s="5" t="s">
        <v>16</v>
      </c>
      <c r="I47" t="s">
        <v>129</v>
      </c>
      <c r="J47" s="54">
        <v>1974</v>
      </c>
      <c r="K47" s="11">
        <v>1983</v>
      </c>
      <c r="L47" s="23">
        <v>33.245528481570297</v>
      </c>
      <c r="M47" s="37">
        <v>-81.468987972091597</v>
      </c>
      <c r="N47" s="19"/>
      <c r="O47" s="44"/>
      <c r="P47" s="11"/>
    </row>
    <row r="48" spans="2:16" x14ac:dyDescent="0.25">
      <c r="B48" s="9"/>
      <c r="C48" s="5" t="s">
        <v>125</v>
      </c>
      <c r="D48" s="43"/>
      <c r="E48" t="s">
        <v>123</v>
      </c>
      <c r="F48" s="5" t="s">
        <v>8</v>
      </c>
      <c r="G48" t="s">
        <v>49</v>
      </c>
      <c r="H48" s="5" t="s">
        <v>16</v>
      </c>
      <c r="I48" t="s">
        <v>126</v>
      </c>
      <c r="J48" s="54">
        <v>1971</v>
      </c>
      <c r="K48" s="11">
        <v>1971</v>
      </c>
      <c r="L48" s="23">
        <v>41.381115036351602</v>
      </c>
      <c r="M48" s="37">
        <v>-88.276968532313504</v>
      </c>
      <c r="N48" s="19"/>
      <c r="O48" s="44"/>
      <c r="P48" s="11"/>
    </row>
    <row r="49" spans="2:16" x14ac:dyDescent="0.25">
      <c r="B49" s="9"/>
      <c r="C49" s="5" t="s">
        <v>145</v>
      </c>
      <c r="D49" s="43"/>
      <c r="E49" t="s">
        <v>123</v>
      </c>
      <c r="F49" s="5" t="s">
        <v>8</v>
      </c>
      <c r="G49" t="s">
        <v>53</v>
      </c>
      <c r="H49" s="5" t="s">
        <v>24</v>
      </c>
      <c r="I49" t="s">
        <v>146</v>
      </c>
      <c r="J49" s="54">
        <v>1956</v>
      </c>
      <c r="K49" s="11">
        <v>1989</v>
      </c>
      <c r="L49" s="9"/>
      <c r="M49" s="9"/>
      <c r="N49" s="11"/>
      <c r="P49" s="11" t="s">
        <v>142</v>
      </c>
    </row>
    <row r="50" spans="2:16" x14ac:dyDescent="0.25">
      <c r="B50" s="9"/>
      <c r="C50" s="5" t="s">
        <v>175</v>
      </c>
      <c r="D50" s="43"/>
      <c r="E50" t="s">
        <v>123</v>
      </c>
      <c r="F50" s="5" t="s">
        <v>8</v>
      </c>
      <c r="G50" t="s">
        <v>53</v>
      </c>
      <c r="H50" s="5" t="s">
        <v>152</v>
      </c>
      <c r="I50" t="s">
        <v>138</v>
      </c>
      <c r="J50" s="54">
        <v>1949</v>
      </c>
      <c r="K50" s="11">
        <v>1956</v>
      </c>
      <c r="L50" s="9"/>
      <c r="M50" s="9"/>
      <c r="N50" s="11"/>
      <c r="P50" s="11" t="s">
        <v>142</v>
      </c>
    </row>
    <row r="51" spans="2:16" x14ac:dyDescent="0.25">
      <c r="B51" s="9"/>
      <c r="C51" s="5" t="s">
        <v>174</v>
      </c>
      <c r="D51" s="43"/>
      <c r="E51" t="s">
        <v>123</v>
      </c>
      <c r="F51" s="5" t="s">
        <v>8</v>
      </c>
      <c r="G51" t="s">
        <v>53</v>
      </c>
      <c r="H51" s="29" t="s">
        <v>24</v>
      </c>
      <c r="I51" t="s">
        <v>138</v>
      </c>
      <c r="J51" s="54">
        <v>1944</v>
      </c>
      <c r="K51" s="11">
        <v>1956</v>
      </c>
      <c r="L51" s="9"/>
      <c r="M51" s="9"/>
      <c r="N51" s="11"/>
      <c r="P51" s="11" t="s">
        <v>142</v>
      </c>
    </row>
    <row r="52" spans="2:16" x14ac:dyDescent="0.25">
      <c r="B52" s="9"/>
      <c r="C52" s="5" t="s">
        <v>182</v>
      </c>
      <c r="D52" s="43"/>
      <c r="E52" t="s">
        <v>123</v>
      </c>
      <c r="F52" s="5" t="s">
        <v>8</v>
      </c>
      <c r="G52" t="s">
        <v>15</v>
      </c>
      <c r="H52" s="32" t="s">
        <v>24</v>
      </c>
      <c r="I52" t="s">
        <v>183</v>
      </c>
      <c r="J52" s="54">
        <v>1955</v>
      </c>
      <c r="K52" s="84">
        <v>2019</v>
      </c>
      <c r="L52" s="73">
        <v>33.289139866821003</v>
      </c>
      <c r="M52" s="55">
        <v>-81.641406625270207</v>
      </c>
      <c r="N52" s="58"/>
      <c r="O52" s="45"/>
      <c r="P52" s="11" t="s">
        <v>222</v>
      </c>
    </row>
    <row r="53" spans="2:16" x14ac:dyDescent="0.25">
      <c r="B53" s="9"/>
      <c r="C53" s="5" t="s">
        <v>140</v>
      </c>
      <c r="D53" s="43"/>
      <c r="E53" t="s">
        <v>123</v>
      </c>
      <c r="F53" s="5" t="s">
        <v>8</v>
      </c>
      <c r="G53" t="s">
        <v>49</v>
      </c>
      <c r="H53" s="5" t="s">
        <v>24</v>
      </c>
      <c r="I53" t="s">
        <v>141</v>
      </c>
      <c r="J53" s="54">
        <v>1959</v>
      </c>
      <c r="K53" s="11">
        <v>1992</v>
      </c>
      <c r="L53" s="9"/>
      <c r="M53" s="9"/>
      <c r="N53" s="11"/>
      <c r="P53" s="11" t="s">
        <v>226</v>
      </c>
    </row>
    <row r="54" spans="2:16" x14ac:dyDescent="0.25">
      <c r="B54" s="9"/>
      <c r="C54" s="5" t="s">
        <v>137</v>
      </c>
      <c r="D54" s="43"/>
      <c r="E54" t="s">
        <v>123</v>
      </c>
      <c r="F54" s="5" t="s">
        <v>8</v>
      </c>
      <c r="G54" t="s">
        <v>49</v>
      </c>
      <c r="H54" s="5" t="s">
        <v>24</v>
      </c>
      <c r="I54" t="s">
        <v>138</v>
      </c>
      <c r="J54" s="54"/>
      <c r="K54" s="11"/>
      <c r="L54" s="9"/>
      <c r="M54" s="9"/>
      <c r="N54" s="11"/>
      <c r="P54" s="11" t="s">
        <v>221</v>
      </c>
    </row>
    <row r="55" spans="2:16" x14ac:dyDescent="0.25">
      <c r="B55" s="9"/>
      <c r="C55" s="5" t="s">
        <v>122</v>
      </c>
      <c r="D55" s="43"/>
      <c r="E55" t="s">
        <v>123</v>
      </c>
      <c r="F55" s="5" t="s">
        <v>8</v>
      </c>
      <c r="G55" t="s">
        <v>113</v>
      </c>
      <c r="H55" s="5" t="s">
        <v>16</v>
      </c>
      <c r="I55" t="s">
        <v>124</v>
      </c>
      <c r="J55" s="54"/>
      <c r="K55" s="11"/>
      <c r="L55" s="9"/>
      <c r="M55" s="9"/>
      <c r="N55" s="11"/>
      <c r="P55" s="11" t="s">
        <v>220</v>
      </c>
    </row>
    <row r="56" spans="2:16" x14ac:dyDescent="0.25">
      <c r="B56" s="9"/>
      <c r="C56" s="5" t="s">
        <v>227</v>
      </c>
      <c r="D56" s="43"/>
      <c r="E56" t="s">
        <v>123</v>
      </c>
      <c r="F56" s="5" t="s">
        <v>8</v>
      </c>
      <c r="G56" t="s">
        <v>20</v>
      </c>
      <c r="H56" s="5" t="s">
        <v>16</v>
      </c>
      <c r="I56" t="s">
        <v>138</v>
      </c>
      <c r="J56" s="76">
        <v>1960</v>
      </c>
      <c r="K56" s="83">
        <v>1968</v>
      </c>
      <c r="L56" s="74">
        <v>39.627663362928203</v>
      </c>
      <c r="M56" s="57">
        <v>-84.282764040494499</v>
      </c>
      <c r="N56" s="59"/>
      <c r="O56" s="60"/>
      <c r="P56" s="11"/>
    </row>
    <row r="57" spans="2:16" x14ac:dyDescent="0.25">
      <c r="B57" s="9"/>
      <c r="C57" s="5" t="s">
        <v>127</v>
      </c>
      <c r="D57" s="43"/>
      <c r="E57" t="s">
        <v>123</v>
      </c>
      <c r="F57" s="5" t="s">
        <v>8</v>
      </c>
      <c r="G57" t="s">
        <v>53</v>
      </c>
      <c r="H57" s="5" t="s">
        <v>16</v>
      </c>
      <c r="I57" t="s">
        <v>126</v>
      </c>
      <c r="J57" s="79">
        <v>1966</v>
      </c>
      <c r="K57" s="85">
        <v>1972</v>
      </c>
      <c r="L57" s="23">
        <v>42.449717543312701</v>
      </c>
      <c r="M57" s="37">
        <v>-78.6559727066698</v>
      </c>
      <c r="N57" s="19"/>
      <c r="O57" s="44"/>
      <c r="P57" s="11"/>
    </row>
    <row r="58" spans="2:16" x14ac:dyDescent="0.25">
      <c r="B58" s="9"/>
      <c r="C58" s="31" t="s">
        <v>229</v>
      </c>
      <c r="D58" s="43"/>
      <c r="E58" t="s">
        <v>77</v>
      </c>
      <c r="F58" s="5" t="s">
        <v>8</v>
      </c>
      <c r="G58" s="15" t="s">
        <v>36</v>
      </c>
      <c r="H58" s="5" t="s">
        <v>152</v>
      </c>
      <c r="I58" t="s">
        <v>176</v>
      </c>
      <c r="J58" s="68">
        <v>2016</v>
      </c>
      <c r="K58" s="11"/>
      <c r="L58" s="22">
        <v>39.013098644047702</v>
      </c>
      <c r="M58" s="63">
        <v>-83.000836517109093</v>
      </c>
      <c r="N58" s="13"/>
      <c r="O58" s="12"/>
      <c r="P58" s="11"/>
    </row>
    <row r="59" spans="2:16" x14ac:dyDescent="0.25">
      <c r="B59" s="9"/>
      <c r="C59" s="31" t="s">
        <v>228</v>
      </c>
      <c r="D59" s="43"/>
      <c r="E59" t="s">
        <v>77</v>
      </c>
      <c r="F59" s="5" t="s">
        <v>8</v>
      </c>
      <c r="G59" t="s">
        <v>148</v>
      </c>
      <c r="H59" s="5" t="s">
        <v>16</v>
      </c>
      <c r="I59" t="s">
        <v>179</v>
      </c>
      <c r="J59" s="54"/>
      <c r="K59" s="11"/>
      <c r="L59" s="22">
        <v>39.013098644047702</v>
      </c>
      <c r="M59" s="63">
        <v>-83.000836517109093</v>
      </c>
      <c r="N59" s="13"/>
      <c r="O59" s="12"/>
      <c r="P59" s="11"/>
    </row>
    <row r="60" spans="2:16" x14ac:dyDescent="0.25">
      <c r="B60" s="9"/>
      <c r="C60" s="5" t="s">
        <v>135</v>
      </c>
      <c r="D60" s="43"/>
      <c r="E60" t="s">
        <v>77</v>
      </c>
      <c r="F60" s="5" t="s">
        <v>8</v>
      </c>
      <c r="G60" s="16" t="s">
        <v>231</v>
      </c>
      <c r="H60" s="5" t="s">
        <v>16</v>
      </c>
      <c r="I60" t="s">
        <v>136</v>
      </c>
      <c r="J60" s="54"/>
      <c r="K60" s="11"/>
      <c r="L60" s="24">
        <v>32.8450660361503</v>
      </c>
      <c r="M60" s="24">
        <v>-92.974843929588801</v>
      </c>
      <c r="N60" s="21"/>
      <c r="O60" s="46"/>
      <c r="P60" s="11"/>
    </row>
    <row r="61" spans="2:16" x14ac:dyDescent="0.25">
      <c r="B61" s="9"/>
      <c r="C61" s="5" t="s">
        <v>232</v>
      </c>
      <c r="D61" s="43"/>
      <c r="E61" t="s">
        <v>77</v>
      </c>
      <c r="F61" s="5" t="s">
        <v>8</v>
      </c>
      <c r="G61" s="16" t="s">
        <v>231</v>
      </c>
      <c r="H61" s="5" t="s">
        <v>16</v>
      </c>
      <c r="I61" t="s">
        <v>185</v>
      </c>
      <c r="J61" s="78">
        <v>2014</v>
      </c>
      <c r="K61" s="11"/>
      <c r="L61" s="24">
        <v>43.559640695012497</v>
      </c>
      <c r="M61" s="24">
        <v>-112.43829922346001</v>
      </c>
      <c r="N61" s="21"/>
      <c r="O61" s="46"/>
      <c r="P61" s="11"/>
    </row>
    <row r="62" spans="2:16" x14ac:dyDescent="0.25">
      <c r="B62" s="9"/>
      <c r="C62" s="34" t="s">
        <v>186</v>
      </c>
      <c r="D62" s="43"/>
      <c r="E62" t="s">
        <v>77</v>
      </c>
      <c r="F62" s="5" t="s">
        <v>8</v>
      </c>
      <c r="G62" s="16" t="s">
        <v>148</v>
      </c>
      <c r="H62" s="35" t="s">
        <v>16</v>
      </c>
      <c r="I62" t="s">
        <v>187</v>
      </c>
      <c r="J62" s="78">
        <v>2013</v>
      </c>
      <c r="K62" s="11"/>
      <c r="L62" s="23">
        <v>34.321740263044099</v>
      </c>
      <c r="M62" s="23">
        <v>-77.923259706593598</v>
      </c>
      <c r="N62" s="19"/>
      <c r="O62" s="44"/>
      <c r="P62" s="11"/>
    </row>
    <row r="63" spans="2:16" x14ac:dyDescent="0.25">
      <c r="B63" s="9"/>
      <c r="C63" s="5" t="s">
        <v>108</v>
      </c>
      <c r="D63" s="43"/>
      <c r="E63" t="s">
        <v>77</v>
      </c>
      <c r="F63" s="5" t="s">
        <v>8</v>
      </c>
      <c r="G63" t="s">
        <v>20</v>
      </c>
      <c r="H63" s="5" t="s">
        <v>24</v>
      </c>
      <c r="I63" t="s">
        <v>109</v>
      </c>
      <c r="J63" s="54">
        <v>1991</v>
      </c>
      <c r="K63" s="11">
        <v>1999</v>
      </c>
      <c r="L63" s="9"/>
      <c r="M63" s="9"/>
      <c r="N63" s="11"/>
      <c r="P63" s="11" t="s">
        <v>233</v>
      </c>
    </row>
    <row r="64" spans="2:16" x14ac:dyDescent="0.25">
      <c r="B64" s="9"/>
      <c r="C64" s="5" t="s">
        <v>234</v>
      </c>
      <c r="D64" s="43"/>
      <c r="E64" t="s">
        <v>77</v>
      </c>
      <c r="F64" s="5" t="s">
        <v>8</v>
      </c>
      <c r="G64" t="s">
        <v>15</v>
      </c>
      <c r="H64" s="5" t="s">
        <v>16</v>
      </c>
      <c r="I64" t="s">
        <v>179</v>
      </c>
      <c r="J64" s="54">
        <v>2010</v>
      </c>
      <c r="K64" s="11"/>
      <c r="L64" s="23">
        <v>32.433692883208401</v>
      </c>
      <c r="M64" s="23">
        <v>-103.07943358766001</v>
      </c>
      <c r="N64" s="19"/>
      <c r="O64" s="44"/>
      <c r="P64" s="11"/>
    </row>
    <row r="65" spans="2:16" x14ac:dyDescent="0.25">
      <c r="B65" s="9"/>
      <c r="C65" s="5" t="s">
        <v>76</v>
      </c>
      <c r="D65" s="43"/>
      <c r="E65" t="s">
        <v>77</v>
      </c>
      <c r="F65" s="5" t="s">
        <v>8</v>
      </c>
      <c r="G65" t="s">
        <v>53</v>
      </c>
      <c r="H65" s="20" t="s">
        <v>16</v>
      </c>
      <c r="I65" t="s">
        <v>78</v>
      </c>
      <c r="J65" s="54">
        <v>1945</v>
      </c>
      <c r="K65" s="11">
        <v>1985</v>
      </c>
      <c r="L65" s="9"/>
      <c r="M65" s="87"/>
      <c r="N65" s="11"/>
      <c r="P65" s="11" t="s">
        <v>220</v>
      </c>
    </row>
    <row r="66" spans="2:16" x14ac:dyDescent="0.25">
      <c r="B66" s="9"/>
      <c r="C66" s="33" t="s">
        <v>79</v>
      </c>
      <c r="D66" s="43"/>
      <c r="E66" t="s">
        <v>77</v>
      </c>
      <c r="F66" s="5" t="s">
        <v>8</v>
      </c>
      <c r="G66" t="s">
        <v>49</v>
      </c>
      <c r="H66" s="5" t="s">
        <v>16</v>
      </c>
      <c r="I66" t="s">
        <v>80</v>
      </c>
      <c r="J66" s="54">
        <v>1965</v>
      </c>
      <c r="K66" s="11">
        <v>2013</v>
      </c>
      <c r="L66" s="23">
        <v>37.111892067151501</v>
      </c>
      <c r="M66" s="37">
        <v>-88.806251518946397</v>
      </c>
      <c r="N66" s="19"/>
      <c r="O66" s="44"/>
      <c r="P66" s="11"/>
    </row>
    <row r="67" spans="2:16" x14ac:dyDescent="0.25">
      <c r="B67" s="9"/>
      <c r="C67" s="31" t="s">
        <v>88</v>
      </c>
      <c r="D67" s="43"/>
      <c r="E67" t="s">
        <v>77</v>
      </c>
      <c r="F67" s="5" t="s">
        <v>8</v>
      </c>
      <c r="G67" t="s">
        <v>49</v>
      </c>
      <c r="H67" s="5" t="s">
        <v>16</v>
      </c>
      <c r="I67" t="s">
        <v>89</v>
      </c>
      <c r="J67" s="54">
        <v>1965</v>
      </c>
      <c r="K67" s="11">
        <v>2001</v>
      </c>
      <c r="L67" s="22">
        <v>39.013098644047702</v>
      </c>
      <c r="M67" s="22">
        <v>-83.000836517109093</v>
      </c>
      <c r="N67" s="13"/>
      <c r="O67" s="12"/>
      <c r="P67" s="11"/>
    </row>
    <row r="68" spans="2:16" x14ac:dyDescent="0.25">
      <c r="B68" s="9"/>
      <c r="C68" s="35" t="s">
        <v>246</v>
      </c>
      <c r="D68" s="43" t="s">
        <v>337</v>
      </c>
      <c r="E68" s="38" t="s">
        <v>338</v>
      </c>
      <c r="F68" s="35"/>
      <c r="G68" s="38" t="s">
        <v>20</v>
      </c>
      <c r="H68" s="35" t="s">
        <v>16</v>
      </c>
      <c r="J68" s="66">
        <v>1951</v>
      </c>
      <c r="K68" s="19">
        <v>1968</v>
      </c>
      <c r="L68" s="24" t="s">
        <v>336</v>
      </c>
      <c r="M68" s="24">
        <v>-112.50994799999999</v>
      </c>
      <c r="N68" s="21"/>
      <c r="O68" s="46"/>
      <c r="P68" s="11"/>
    </row>
    <row r="69" spans="2:16" x14ac:dyDescent="0.25">
      <c r="B69" s="9"/>
      <c r="C69" s="5" t="s">
        <v>285</v>
      </c>
      <c r="D69" s="43" t="s">
        <v>286</v>
      </c>
      <c r="E69" t="s">
        <v>23</v>
      </c>
      <c r="F69" s="5" t="s">
        <v>8</v>
      </c>
      <c r="G69" s="16" t="s">
        <v>238</v>
      </c>
      <c r="H69" s="5" t="s">
        <v>16</v>
      </c>
      <c r="I69" t="s">
        <v>27</v>
      </c>
      <c r="J69" s="78">
        <v>1982</v>
      </c>
      <c r="K69" s="11"/>
      <c r="L69" s="24">
        <v>35.279087557458297</v>
      </c>
      <c r="M69" s="24">
        <v>-107.465236038142</v>
      </c>
      <c r="N69" s="11"/>
      <c r="P69" s="11"/>
    </row>
    <row r="70" spans="2:16" x14ac:dyDescent="0.25">
      <c r="B70" s="9"/>
      <c r="C70" s="49" t="s">
        <v>198</v>
      </c>
      <c r="D70" s="50"/>
      <c r="E70" s="41" t="s">
        <v>23</v>
      </c>
      <c r="F70" s="51" t="s">
        <v>8</v>
      </c>
      <c r="G70" s="41" t="s">
        <v>148</v>
      </c>
      <c r="H70" s="51"/>
      <c r="I70" s="41" t="s">
        <v>183</v>
      </c>
      <c r="J70" s="54"/>
      <c r="K70" s="11"/>
      <c r="L70" s="9"/>
      <c r="M70" s="9"/>
      <c r="N70" s="11"/>
      <c r="P70" s="11"/>
    </row>
    <row r="71" spans="2:16" x14ac:dyDescent="0.25">
      <c r="B71" s="9"/>
      <c r="C71" s="5" t="s">
        <v>110</v>
      </c>
      <c r="D71" s="48" t="s">
        <v>300</v>
      </c>
      <c r="E71" t="s">
        <v>299</v>
      </c>
      <c r="F71" s="5" t="s">
        <v>8</v>
      </c>
      <c r="G71" s="16" t="s">
        <v>53</v>
      </c>
      <c r="H71" s="5" t="s">
        <v>16</v>
      </c>
      <c r="I71" t="s">
        <v>111</v>
      </c>
      <c r="J71" s="80">
        <v>1988</v>
      </c>
      <c r="K71" s="21">
        <v>2005</v>
      </c>
      <c r="L71" s="64">
        <v>28.992595496239002</v>
      </c>
      <c r="M71" s="64">
        <v>-95.360028194561906</v>
      </c>
      <c r="N71" s="11"/>
      <c r="P71" s="11"/>
    </row>
    <row r="72" spans="2:16" x14ac:dyDescent="0.25">
      <c r="B72" s="9"/>
      <c r="C72" s="5" t="s">
        <v>120</v>
      </c>
      <c r="D72" s="43"/>
      <c r="E72" t="s">
        <v>236</v>
      </c>
      <c r="F72" s="5" t="s">
        <v>8</v>
      </c>
      <c r="G72" s="16" t="s">
        <v>53</v>
      </c>
      <c r="H72" s="5" t="s">
        <v>16</v>
      </c>
      <c r="I72" t="s">
        <v>121</v>
      </c>
      <c r="J72" s="54">
        <v>1958</v>
      </c>
      <c r="K72" s="11">
        <v>1992</v>
      </c>
      <c r="L72" s="24">
        <v>35.419983732960503</v>
      </c>
      <c r="M72" s="24">
        <v>-107.82955864207</v>
      </c>
      <c r="N72" s="21"/>
      <c r="O72" s="46"/>
      <c r="P72" s="21"/>
    </row>
    <row r="73" spans="2:16" x14ac:dyDescent="0.25">
      <c r="B73" s="9"/>
      <c r="C73" s="5" t="s">
        <v>22</v>
      </c>
      <c r="D73" s="43"/>
      <c r="E73" t="s">
        <v>236</v>
      </c>
      <c r="F73" s="5" t="s">
        <v>8</v>
      </c>
      <c r="G73" t="s">
        <v>20</v>
      </c>
      <c r="H73" s="28" t="s">
        <v>16</v>
      </c>
      <c r="I73" t="s">
        <v>25</v>
      </c>
      <c r="J73" s="54">
        <v>1977</v>
      </c>
      <c r="K73" s="11">
        <v>1985</v>
      </c>
      <c r="L73" s="24">
        <v>43.272193696139198</v>
      </c>
      <c r="M73" s="24">
        <v>-105.612771515539</v>
      </c>
      <c r="N73" s="21"/>
      <c r="O73" s="46"/>
      <c r="P73" s="11"/>
    </row>
    <row r="74" spans="2:16" x14ac:dyDescent="0.25">
      <c r="B74" s="9"/>
      <c r="C74" s="5" t="s">
        <v>26</v>
      </c>
      <c r="D74" s="43"/>
      <c r="E74" t="s">
        <v>236</v>
      </c>
      <c r="F74" s="5" t="s">
        <v>8</v>
      </c>
      <c r="G74" t="s">
        <v>20</v>
      </c>
      <c r="H74" s="5" t="s">
        <v>16</v>
      </c>
      <c r="I74" t="s">
        <v>27</v>
      </c>
      <c r="J74" s="80">
        <v>1957</v>
      </c>
      <c r="K74" s="11">
        <v>1982</v>
      </c>
      <c r="L74" s="24">
        <v>35.264020941565498</v>
      </c>
      <c r="M74" s="24">
        <v>-107.944517841712</v>
      </c>
      <c r="N74" s="21"/>
      <c r="O74" s="46"/>
      <c r="P74" s="11"/>
    </row>
    <row r="75" spans="2:16" x14ac:dyDescent="0.25">
      <c r="B75" s="9"/>
      <c r="C75" s="36" t="s">
        <v>133</v>
      </c>
      <c r="D75" s="43" t="s">
        <v>270</v>
      </c>
      <c r="E75" t="s">
        <v>236</v>
      </c>
      <c r="F75" s="5" t="s">
        <v>8</v>
      </c>
      <c r="G75" s="16" t="s">
        <v>20</v>
      </c>
      <c r="H75" s="5" t="s">
        <v>16</v>
      </c>
      <c r="I75" t="s">
        <v>134</v>
      </c>
      <c r="J75" s="54">
        <v>1979</v>
      </c>
      <c r="K75" s="21">
        <v>2006</v>
      </c>
      <c r="L75" s="23">
        <v>38.399938107981498</v>
      </c>
      <c r="M75" s="23">
        <v>-105.23280835954399</v>
      </c>
      <c r="N75" s="19"/>
      <c r="O75" s="44"/>
      <c r="P75" s="11"/>
    </row>
    <row r="76" spans="2:16" x14ac:dyDescent="0.25">
      <c r="B76" s="9"/>
      <c r="C76" s="36" t="s">
        <v>31</v>
      </c>
      <c r="D76" s="43" t="s">
        <v>271</v>
      </c>
      <c r="E76" t="s">
        <v>236</v>
      </c>
      <c r="F76" s="5" t="s">
        <v>8</v>
      </c>
      <c r="G76" t="s">
        <v>20</v>
      </c>
      <c r="H76" s="5" t="s">
        <v>16</v>
      </c>
      <c r="I76" t="s">
        <v>32</v>
      </c>
      <c r="J76" s="54">
        <v>1958</v>
      </c>
      <c r="K76" s="86">
        <v>1979</v>
      </c>
      <c r="L76" s="23">
        <v>38.399938107981498</v>
      </c>
      <c r="M76" s="23">
        <v>-105.23280835954399</v>
      </c>
      <c r="N76" s="19"/>
      <c r="O76" s="44"/>
      <c r="P76" s="11"/>
    </row>
    <row r="77" spans="2:16" x14ac:dyDescent="0.25">
      <c r="B77" s="9"/>
      <c r="C77" s="67" t="s">
        <v>184</v>
      </c>
      <c r="D77" s="43" t="s">
        <v>311</v>
      </c>
      <c r="E77" t="s">
        <v>236</v>
      </c>
      <c r="F77" s="5" t="s">
        <v>8</v>
      </c>
      <c r="G77" s="16" t="s">
        <v>20</v>
      </c>
      <c r="H77" s="5" t="s">
        <v>16</v>
      </c>
      <c r="I77" t="s">
        <v>56</v>
      </c>
      <c r="J77" s="66">
        <v>1977</v>
      </c>
      <c r="K77" s="19">
        <v>1982</v>
      </c>
      <c r="L77" s="24">
        <v>35.647538422283397</v>
      </c>
      <c r="M77" s="24">
        <v>-108.50137604277</v>
      </c>
      <c r="N77" s="21"/>
      <c r="O77" s="24"/>
      <c r="P77" s="11"/>
    </row>
    <row r="78" spans="2:16" x14ac:dyDescent="0.25">
      <c r="B78" s="9"/>
      <c r="C78" s="29" t="s">
        <v>292</v>
      </c>
      <c r="D78" s="43" t="s">
        <v>290</v>
      </c>
      <c r="E78" t="s">
        <v>236</v>
      </c>
      <c r="F78" s="5" t="s">
        <v>8</v>
      </c>
      <c r="G78" s="16" t="s">
        <v>20</v>
      </c>
      <c r="H78" t="s">
        <v>16</v>
      </c>
      <c r="I78" t="s">
        <v>74</v>
      </c>
      <c r="J78" s="76">
        <v>1957</v>
      </c>
      <c r="K78" s="83">
        <v>1982</v>
      </c>
      <c r="L78" s="24">
        <v>47.876176860000001</v>
      </c>
      <c r="M78" s="24">
        <v>-118.10617378000001</v>
      </c>
      <c r="N78" s="11"/>
      <c r="P78" s="11"/>
    </row>
    <row r="79" spans="2:16" x14ac:dyDescent="0.25">
      <c r="B79" s="9"/>
      <c r="C79" s="35" t="s">
        <v>332</v>
      </c>
      <c r="D79" s="43" t="s">
        <v>331</v>
      </c>
      <c r="E79" s="38" t="s">
        <v>256</v>
      </c>
      <c r="F79" s="35"/>
      <c r="G79" s="38" t="s">
        <v>20</v>
      </c>
      <c r="H79" s="35" t="s">
        <v>16</v>
      </c>
      <c r="J79" s="80">
        <v>1977</v>
      </c>
      <c r="K79" s="21">
        <v>1979</v>
      </c>
      <c r="L79" s="24">
        <v>38.197005456422502</v>
      </c>
      <c r="M79" s="56">
        <v>-108.617979175179</v>
      </c>
      <c r="N79" s="21"/>
      <c r="O79" s="46"/>
      <c r="P79" s="11"/>
    </row>
    <row r="80" spans="2:16" x14ac:dyDescent="0.25">
      <c r="B80" s="9"/>
      <c r="C80" s="35" t="s">
        <v>251</v>
      </c>
      <c r="D80" s="43" t="s">
        <v>353</v>
      </c>
      <c r="E80" s="38" t="s">
        <v>256</v>
      </c>
      <c r="F80" s="35"/>
      <c r="G80" s="38" t="s">
        <v>20</v>
      </c>
      <c r="H80" s="35" t="s">
        <v>16</v>
      </c>
      <c r="J80" s="66">
        <v>1956</v>
      </c>
      <c r="K80" s="19">
        <v>1972</v>
      </c>
      <c r="L80" s="82" t="s">
        <v>351</v>
      </c>
      <c r="M80" s="24" t="s">
        <v>352</v>
      </c>
      <c r="N80" s="21"/>
      <c r="O80" s="46"/>
      <c r="P80" s="11"/>
    </row>
    <row r="81" spans="2:16" x14ac:dyDescent="0.25">
      <c r="B81" s="9"/>
      <c r="C81" s="5" t="s">
        <v>45</v>
      </c>
      <c r="D81" s="43" t="s">
        <v>260</v>
      </c>
      <c r="E81" t="s">
        <v>236</v>
      </c>
      <c r="F81" s="5" t="s">
        <v>8</v>
      </c>
      <c r="G81" t="s">
        <v>20</v>
      </c>
      <c r="H81" s="5" t="s">
        <v>16</v>
      </c>
      <c r="I81" t="s">
        <v>27</v>
      </c>
      <c r="J81" s="72">
        <v>1961</v>
      </c>
      <c r="K81" s="11">
        <v>1983</v>
      </c>
      <c r="L81" s="24">
        <v>28.905370019999999</v>
      </c>
      <c r="M81" s="24">
        <v>-98.132268359999998</v>
      </c>
      <c r="N81" s="21"/>
      <c r="O81" s="18"/>
      <c r="P81" s="11"/>
    </row>
    <row r="82" spans="2:16" x14ac:dyDescent="0.25">
      <c r="B82" s="9"/>
      <c r="C82" s="35" t="s">
        <v>309</v>
      </c>
      <c r="D82" s="43" t="s">
        <v>310</v>
      </c>
      <c r="E82" s="38" t="s">
        <v>256</v>
      </c>
      <c r="F82" s="35"/>
      <c r="G82" s="38" t="s">
        <v>314</v>
      </c>
      <c r="H82" s="35" t="s">
        <v>16</v>
      </c>
      <c r="J82" s="66">
        <v>1971</v>
      </c>
      <c r="K82" s="21">
        <v>1982</v>
      </c>
      <c r="L82" s="24">
        <v>28.900644579463801</v>
      </c>
      <c r="M82" s="24">
        <v>-98.108820342588601</v>
      </c>
      <c r="N82" s="21"/>
      <c r="O82" s="46"/>
      <c r="P82" s="11"/>
    </row>
    <row r="83" spans="2:16" x14ac:dyDescent="0.25">
      <c r="B83" s="9"/>
      <c r="C83" s="5" t="s">
        <v>46</v>
      </c>
      <c r="D83" s="43" t="s">
        <v>254</v>
      </c>
      <c r="E83" t="s">
        <v>236</v>
      </c>
      <c r="F83" s="5" t="s">
        <v>8</v>
      </c>
      <c r="G83" t="s">
        <v>20</v>
      </c>
      <c r="H83" s="5" t="s">
        <v>16</v>
      </c>
      <c r="I83" t="s">
        <v>25</v>
      </c>
      <c r="J83" s="54">
        <v>1959</v>
      </c>
      <c r="K83" s="11">
        <v>1986</v>
      </c>
      <c r="L83" s="24">
        <v>42.831167994646798</v>
      </c>
      <c r="M83" s="24">
        <v>-107.572498064341</v>
      </c>
      <c r="N83" s="21"/>
      <c r="O83" s="18"/>
      <c r="P83" s="11"/>
    </row>
    <row r="84" spans="2:16" x14ac:dyDescent="0.25">
      <c r="B84" s="9"/>
      <c r="C84" s="5" t="s">
        <v>75</v>
      </c>
      <c r="D84" s="43" t="s">
        <v>255</v>
      </c>
      <c r="E84" t="s">
        <v>236</v>
      </c>
      <c r="F84" s="5" t="s">
        <v>8</v>
      </c>
      <c r="G84" t="s">
        <v>20</v>
      </c>
      <c r="H84" s="5" t="s">
        <v>16</v>
      </c>
      <c r="I84" t="s">
        <v>32</v>
      </c>
      <c r="J84" s="54">
        <v>1960</v>
      </c>
      <c r="K84" s="11">
        <v>1986</v>
      </c>
      <c r="L84" s="24">
        <v>42.805706218813697</v>
      </c>
      <c r="M84" s="24">
        <v>-107.500571329539</v>
      </c>
      <c r="N84" s="21"/>
      <c r="O84" s="18"/>
      <c r="P84" s="11"/>
    </row>
    <row r="85" spans="2:16" x14ac:dyDescent="0.25">
      <c r="B85" s="9"/>
      <c r="C85" s="35" t="s">
        <v>330</v>
      </c>
      <c r="D85" s="43" t="s">
        <v>318</v>
      </c>
      <c r="E85" s="38" t="s">
        <v>256</v>
      </c>
      <c r="F85" s="35"/>
      <c r="G85" s="38" t="s">
        <v>20</v>
      </c>
      <c r="H85" s="35" t="s">
        <v>16</v>
      </c>
      <c r="J85" s="66">
        <v>1950</v>
      </c>
      <c r="K85" s="19">
        <v>1970</v>
      </c>
      <c r="L85" s="24">
        <v>39.055494119310403</v>
      </c>
      <c r="M85" s="24">
        <v>-108.552691332734</v>
      </c>
      <c r="N85" s="21"/>
      <c r="O85" s="46"/>
      <c r="P85" s="11"/>
    </row>
    <row r="86" spans="2:16" x14ac:dyDescent="0.25">
      <c r="B86" s="9"/>
      <c r="C86" s="5" t="s">
        <v>57</v>
      </c>
      <c r="D86" s="43" t="s">
        <v>214</v>
      </c>
      <c r="E86" t="s">
        <v>261</v>
      </c>
      <c r="F86" s="5" t="s">
        <v>8</v>
      </c>
      <c r="G86" t="s">
        <v>20</v>
      </c>
      <c r="H86" s="5" t="s">
        <v>16</v>
      </c>
      <c r="I86" t="s">
        <v>27</v>
      </c>
      <c r="J86" s="54">
        <v>1958</v>
      </c>
      <c r="K86" s="11">
        <v>1990</v>
      </c>
      <c r="L86" s="24">
        <v>35.239417490143801</v>
      </c>
      <c r="M86" s="24">
        <v>-107.859835625131</v>
      </c>
      <c r="N86" s="21"/>
      <c r="O86" s="18"/>
      <c r="P86" s="11"/>
    </row>
    <row r="87" spans="2:16" x14ac:dyDescent="0.25">
      <c r="B87" s="9"/>
      <c r="C87" s="5" t="s">
        <v>150</v>
      </c>
      <c r="D87" s="43" t="s">
        <v>262</v>
      </c>
      <c r="E87" t="s">
        <v>261</v>
      </c>
      <c r="F87" s="5" t="s">
        <v>8</v>
      </c>
      <c r="G87" t="s">
        <v>20</v>
      </c>
      <c r="H87" s="5" t="s">
        <v>16</v>
      </c>
      <c r="I87" t="s">
        <v>27</v>
      </c>
      <c r="J87" s="54">
        <v>1958</v>
      </c>
      <c r="K87" s="11">
        <v>1961</v>
      </c>
      <c r="L87" s="24">
        <v>38.97815799</v>
      </c>
      <c r="M87" s="24">
        <v>-110.13673786</v>
      </c>
      <c r="N87" s="21"/>
      <c r="O87" s="18"/>
      <c r="P87" s="11"/>
    </row>
    <row r="88" spans="2:16" x14ac:dyDescent="0.25">
      <c r="B88" s="9"/>
      <c r="C88" s="5" t="s">
        <v>116</v>
      </c>
      <c r="D88" s="43" t="s">
        <v>264</v>
      </c>
      <c r="E88" t="s">
        <v>236</v>
      </c>
      <c r="F88" s="5" t="s">
        <v>8</v>
      </c>
      <c r="G88" s="16" t="s">
        <v>53</v>
      </c>
      <c r="H88" s="5" t="s">
        <v>16</v>
      </c>
      <c r="I88" s="42" t="s">
        <v>84</v>
      </c>
      <c r="J88" s="81">
        <v>1972</v>
      </c>
      <c r="K88" s="86">
        <v>1984</v>
      </c>
      <c r="L88" s="24">
        <v>43.061688571938198</v>
      </c>
      <c r="M88" s="24">
        <v>-105.51020756887</v>
      </c>
      <c r="N88" s="21"/>
      <c r="O88" s="18"/>
      <c r="P88" s="11"/>
    </row>
    <row r="89" spans="2:16" x14ac:dyDescent="0.25">
      <c r="B89" s="9"/>
      <c r="C89" s="35" t="s">
        <v>240</v>
      </c>
      <c r="D89" s="43" t="s">
        <v>319</v>
      </c>
      <c r="E89" s="38" t="s">
        <v>256</v>
      </c>
      <c r="F89" s="35"/>
      <c r="G89" s="38" t="s">
        <v>20</v>
      </c>
      <c r="H89" s="35" t="s">
        <v>16</v>
      </c>
      <c r="J89" s="66">
        <v>1958</v>
      </c>
      <c r="K89" s="19">
        <v>1961</v>
      </c>
      <c r="L89" s="24">
        <v>42.209321221000401</v>
      </c>
      <c r="M89" s="24">
        <v>-120.36904357298801</v>
      </c>
      <c r="N89" s="21"/>
      <c r="O89" s="46"/>
      <c r="P89" s="11"/>
    </row>
    <row r="90" spans="2:16" x14ac:dyDescent="0.25">
      <c r="B90" s="9"/>
      <c r="C90" s="5" t="s">
        <v>33</v>
      </c>
      <c r="D90" s="48" t="s">
        <v>280</v>
      </c>
      <c r="E90" t="s">
        <v>236</v>
      </c>
      <c r="F90" s="5" t="s">
        <v>8</v>
      </c>
      <c r="G90" t="s">
        <v>20</v>
      </c>
      <c r="H90" s="5" t="s">
        <v>16</v>
      </c>
      <c r="I90" t="s">
        <v>34</v>
      </c>
      <c r="J90" s="54">
        <v>1976</v>
      </c>
      <c r="K90" s="11">
        <v>1981</v>
      </c>
      <c r="L90" s="24">
        <v>35.1788957046655</v>
      </c>
      <c r="M90" s="24">
        <v>-107.32434110398501</v>
      </c>
      <c r="N90" s="11"/>
      <c r="P90" s="11"/>
    </row>
    <row r="91" spans="2:16" x14ac:dyDescent="0.25">
      <c r="B91" s="9"/>
      <c r="C91" s="5" t="s">
        <v>62</v>
      </c>
      <c r="D91" s="48" t="s">
        <v>281</v>
      </c>
      <c r="E91" t="s">
        <v>236</v>
      </c>
      <c r="F91" s="5" t="s">
        <v>8</v>
      </c>
      <c r="G91" t="s">
        <v>20</v>
      </c>
      <c r="H91" s="5" t="s">
        <v>16</v>
      </c>
      <c r="I91" t="s">
        <v>63</v>
      </c>
      <c r="J91" s="54">
        <v>1972</v>
      </c>
      <c r="K91" s="11">
        <v>1988</v>
      </c>
      <c r="L91" s="24">
        <v>38.265120599941604</v>
      </c>
      <c r="M91" s="24">
        <v>-109.282608564459</v>
      </c>
      <c r="N91" s="11"/>
      <c r="P91" s="11"/>
    </row>
    <row r="92" spans="2:16" x14ac:dyDescent="0.25">
      <c r="B92" s="9"/>
      <c r="C92" s="5" t="s">
        <v>64</v>
      </c>
      <c r="D92" s="43" t="s">
        <v>284</v>
      </c>
      <c r="E92" t="s">
        <v>236</v>
      </c>
      <c r="F92" s="5" t="s">
        <v>8</v>
      </c>
      <c r="G92" s="16" t="s">
        <v>20</v>
      </c>
      <c r="H92" s="5" t="s">
        <v>16</v>
      </c>
      <c r="I92" t="s">
        <v>65</v>
      </c>
      <c r="J92" s="54">
        <v>1978</v>
      </c>
      <c r="K92" s="11">
        <v>1985</v>
      </c>
      <c r="L92" s="24">
        <v>42.8200792427415</v>
      </c>
      <c r="M92" s="24">
        <v>-107.611208278191</v>
      </c>
      <c r="N92" s="11"/>
      <c r="P92" s="11"/>
    </row>
    <row r="93" spans="2:16" x14ac:dyDescent="0.25">
      <c r="B93" s="9"/>
      <c r="C93" s="35" t="s">
        <v>241</v>
      </c>
      <c r="D93" s="43" t="s">
        <v>326</v>
      </c>
      <c r="E93" s="38" t="s">
        <v>256</v>
      </c>
      <c r="F93" s="35"/>
      <c r="G93" s="38" t="s">
        <v>20</v>
      </c>
      <c r="H93" s="35" t="s">
        <v>16</v>
      </c>
      <c r="J93" s="66">
        <v>1957</v>
      </c>
      <c r="K93" s="19">
        <v>1964</v>
      </c>
      <c r="L93" s="24">
        <v>40.543852999999999</v>
      </c>
      <c r="M93" s="24" t="s">
        <v>320</v>
      </c>
      <c r="N93" s="21"/>
      <c r="O93" s="46"/>
      <c r="P93" s="11"/>
    </row>
    <row r="94" spans="2:16" x14ac:dyDescent="0.25">
      <c r="B94" s="9"/>
      <c r="C94" s="35" t="s">
        <v>241</v>
      </c>
      <c r="D94" s="43" t="s">
        <v>354</v>
      </c>
      <c r="E94" s="38" t="s">
        <v>256</v>
      </c>
      <c r="F94" s="35"/>
      <c r="G94" s="38" t="s">
        <v>20</v>
      </c>
      <c r="H94" s="35" t="s">
        <v>16</v>
      </c>
      <c r="J94" s="66">
        <v>1957</v>
      </c>
      <c r="K94" s="19">
        <v>1964</v>
      </c>
      <c r="L94" s="24" t="s">
        <v>355</v>
      </c>
      <c r="M94" s="24" t="s">
        <v>320</v>
      </c>
      <c r="N94" s="21"/>
      <c r="O94" s="46"/>
      <c r="P94" s="11"/>
    </row>
    <row r="95" spans="2:16" x14ac:dyDescent="0.25">
      <c r="B95" s="9"/>
      <c r="C95" s="35" t="s">
        <v>242</v>
      </c>
      <c r="D95" s="43" t="s">
        <v>325</v>
      </c>
      <c r="E95" s="38" t="s">
        <v>256</v>
      </c>
      <c r="F95" s="35"/>
      <c r="G95" s="38" t="s">
        <v>327</v>
      </c>
      <c r="H95" s="35" t="s">
        <v>16</v>
      </c>
      <c r="J95" s="66">
        <v>1957</v>
      </c>
      <c r="K95" s="19">
        <v>1965</v>
      </c>
      <c r="L95" s="24" t="s">
        <v>321</v>
      </c>
      <c r="M95" s="24" t="s">
        <v>322</v>
      </c>
      <c r="N95" s="21"/>
      <c r="O95" s="46"/>
      <c r="P95" s="11"/>
    </row>
    <row r="96" spans="2:16" x14ac:dyDescent="0.25">
      <c r="B96" s="9"/>
      <c r="C96" s="5" t="s">
        <v>69</v>
      </c>
      <c r="D96" s="43" t="s">
        <v>295</v>
      </c>
      <c r="E96" t="s">
        <v>236</v>
      </c>
      <c r="F96" s="5" t="s">
        <v>8</v>
      </c>
      <c r="G96" t="s">
        <v>20</v>
      </c>
      <c r="H96" s="5" t="s">
        <v>16</v>
      </c>
      <c r="I96" t="s">
        <v>70</v>
      </c>
      <c r="J96" s="54">
        <v>1956</v>
      </c>
      <c r="K96" s="11">
        <v>1988</v>
      </c>
      <c r="L96" s="24">
        <v>38.604804194531297</v>
      </c>
      <c r="M96" s="24">
        <v>-109.5901740259</v>
      </c>
      <c r="N96" s="11"/>
      <c r="P96" s="11"/>
    </row>
    <row r="97" spans="2:16" x14ac:dyDescent="0.25">
      <c r="B97" s="9"/>
      <c r="C97" s="35" t="s">
        <v>243</v>
      </c>
      <c r="D97" s="43" t="s">
        <v>333</v>
      </c>
      <c r="E97" s="38" t="s">
        <v>256</v>
      </c>
      <c r="F97" s="35"/>
      <c r="G97" s="38" t="s">
        <v>20</v>
      </c>
      <c r="H97" s="35" t="s">
        <v>16</v>
      </c>
      <c r="J97" s="66">
        <v>1942</v>
      </c>
      <c r="K97" s="19">
        <v>1963</v>
      </c>
      <c r="L97" s="24">
        <v>38.240230488020202</v>
      </c>
      <c r="M97" s="24">
        <v>-108.610754839094</v>
      </c>
      <c r="N97" s="21"/>
      <c r="O97" s="46"/>
      <c r="P97" s="11"/>
    </row>
    <row r="98" spans="2:16" x14ac:dyDescent="0.25">
      <c r="B98" s="9"/>
      <c r="C98" s="5" t="s">
        <v>83</v>
      </c>
      <c r="D98" s="43" t="s">
        <v>298</v>
      </c>
      <c r="E98" t="s">
        <v>236</v>
      </c>
      <c r="F98" s="5" t="s">
        <v>8</v>
      </c>
      <c r="G98" t="s">
        <v>20</v>
      </c>
      <c r="H98" s="5" t="s">
        <v>16</v>
      </c>
      <c r="I98" t="s">
        <v>84</v>
      </c>
      <c r="J98" s="54">
        <v>1979</v>
      </c>
      <c r="K98" s="11">
        <v>1992</v>
      </c>
      <c r="L98" s="24">
        <v>28.958956829508899</v>
      </c>
      <c r="M98" s="24">
        <v>-97.944444589119101</v>
      </c>
      <c r="N98" s="11"/>
      <c r="P98" s="11"/>
    </row>
    <row r="99" spans="2:16" x14ac:dyDescent="0.25">
      <c r="B99" s="9"/>
      <c r="C99" s="5" t="s">
        <v>197</v>
      </c>
      <c r="D99" s="43" t="s">
        <v>282</v>
      </c>
      <c r="E99" t="s">
        <v>236</v>
      </c>
      <c r="F99" s="5" t="s">
        <v>8</v>
      </c>
      <c r="G99" s="16" t="s">
        <v>238</v>
      </c>
      <c r="H99" s="5" t="s">
        <v>16</v>
      </c>
      <c r="I99" t="s">
        <v>183</v>
      </c>
      <c r="J99" s="54"/>
      <c r="K99" s="11"/>
      <c r="L99" s="24">
        <v>38.249820187848599</v>
      </c>
      <c r="M99" s="24">
        <v>-108.766533841777</v>
      </c>
      <c r="N99" s="11"/>
      <c r="P99" s="11"/>
    </row>
    <row r="100" spans="2:16" x14ac:dyDescent="0.25">
      <c r="B100" s="9"/>
      <c r="C100" s="35" t="s">
        <v>244</v>
      </c>
      <c r="D100" s="43" t="s">
        <v>262</v>
      </c>
      <c r="E100" s="38" t="s">
        <v>256</v>
      </c>
      <c r="F100" s="35"/>
      <c r="G100" s="38" t="s">
        <v>20</v>
      </c>
      <c r="H100" s="35" t="s">
        <v>16</v>
      </c>
      <c r="J100" s="80">
        <v>1942</v>
      </c>
      <c r="K100" s="21">
        <v>1973</v>
      </c>
      <c r="L100" s="24">
        <v>39.533244000000003</v>
      </c>
      <c r="M100" s="24" t="s">
        <v>334</v>
      </c>
      <c r="N100" s="21"/>
      <c r="O100" s="46"/>
      <c r="P100" s="11"/>
    </row>
    <row r="101" spans="2:16" x14ac:dyDescent="0.25">
      <c r="B101" s="9"/>
      <c r="C101" s="35" t="s">
        <v>245</v>
      </c>
      <c r="D101" s="48" t="s">
        <v>335</v>
      </c>
      <c r="E101" s="38" t="s">
        <v>256</v>
      </c>
      <c r="F101" s="35"/>
      <c r="G101" s="38" t="s">
        <v>20</v>
      </c>
      <c r="H101" s="35" t="s">
        <v>16</v>
      </c>
      <c r="J101" s="66">
        <v>1958</v>
      </c>
      <c r="K101" s="19">
        <v>1963</v>
      </c>
      <c r="L101" s="24">
        <v>42.997672000000001</v>
      </c>
      <c r="M101" s="24">
        <v>-108.410318</v>
      </c>
      <c r="N101" s="21"/>
      <c r="O101" s="46"/>
      <c r="P101" s="11"/>
    </row>
    <row r="102" spans="2:16" x14ac:dyDescent="0.25">
      <c r="B102" s="9"/>
      <c r="C102" s="35" t="s">
        <v>247</v>
      </c>
      <c r="D102" s="43" t="s">
        <v>340</v>
      </c>
      <c r="E102" s="38" t="s">
        <v>256</v>
      </c>
      <c r="F102" s="35"/>
      <c r="G102" s="38" t="s">
        <v>20</v>
      </c>
      <c r="H102" s="35" t="s">
        <v>16</v>
      </c>
      <c r="J102" s="66">
        <v>1954</v>
      </c>
      <c r="K102" s="19">
        <v>1968</v>
      </c>
      <c r="L102" s="24">
        <v>36.770007999999997</v>
      </c>
      <c r="M102" s="24" t="s">
        <v>339</v>
      </c>
      <c r="N102" s="21"/>
      <c r="O102" s="46"/>
      <c r="P102" s="11"/>
    </row>
    <row r="103" spans="2:16" x14ac:dyDescent="0.25">
      <c r="B103" s="9"/>
      <c r="C103" s="52" t="s">
        <v>85</v>
      </c>
      <c r="D103" s="43" t="s">
        <v>284</v>
      </c>
      <c r="E103" t="s">
        <v>236</v>
      </c>
      <c r="F103" s="5" t="s">
        <v>8</v>
      </c>
      <c r="G103" t="s">
        <v>20</v>
      </c>
      <c r="H103" s="5" t="s">
        <v>16</v>
      </c>
      <c r="I103" t="s">
        <v>34</v>
      </c>
      <c r="J103" s="54">
        <v>1971</v>
      </c>
      <c r="K103" s="11">
        <v>1992</v>
      </c>
      <c r="L103" s="24">
        <v>42.365130958438499</v>
      </c>
      <c r="M103" s="24">
        <v>-106.171616577002</v>
      </c>
      <c r="N103" s="11"/>
      <c r="P103" s="11"/>
    </row>
    <row r="104" spans="2:16" x14ac:dyDescent="0.25">
      <c r="B104" s="9"/>
      <c r="C104" s="52" t="s">
        <v>302</v>
      </c>
      <c r="D104" s="48" t="s">
        <v>303</v>
      </c>
      <c r="E104" t="s">
        <v>236</v>
      </c>
      <c r="F104" s="5" t="s">
        <v>8</v>
      </c>
      <c r="G104" s="16" t="s">
        <v>20</v>
      </c>
      <c r="H104" s="5" t="s">
        <v>16</v>
      </c>
      <c r="I104" t="s">
        <v>25</v>
      </c>
      <c r="J104" s="54">
        <v>1962</v>
      </c>
      <c r="K104" s="11">
        <v>1985</v>
      </c>
      <c r="L104" s="24">
        <v>42.365130958438499</v>
      </c>
      <c r="M104" s="24">
        <v>-106.171616577002</v>
      </c>
      <c r="N104" s="11"/>
      <c r="P104" s="11"/>
    </row>
    <row r="105" spans="2:16" x14ac:dyDescent="0.25">
      <c r="B105" s="9"/>
      <c r="C105" s="5" t="s">
        <v>257</v>
      </c>
      <c r="D105" s="43" t="s">
        <v>304</v>
      </c>
      <c r="E105" s="15" t="s">
        <v>256</v>
      </c>
      <c r="F105" s="29" t="s">
        <v>8</v>
      </c>
      <c r="G105" s="15" t="s">
        <v>238</v>
      </c>
      <c r="H105" s="5" t="s">
        <v>16</v>
      </c>
      <c r="I105" t="s">
        <v>95</v>
      </c>
      <c r="J105" s="54">
        <v>1982</v>
      </c>
      <c r="K105" s="11"/>
      <c r="L105" s="23">
        <v>37.713301432478403</v>
      </c>
      <c r="M105" s="23">
        <v>-110.6904782558</v>
      </c>
      <c r="N105" s="11"/>
      <c r="P105" s="11"/>
    </row>
    <row r="106" spans="2:16" x14ac:dyDescent="0.25">
      <c r="B106" s="9"/>
      <c r="C106" s="35" t="s">
        <v>248</v>
      </c>
      <c r="D106" s="43" t="s">
        <v>343</v>
      </c>
      <c r="E106" s="38" t="s">
        <v>256</v>
      </c>
      <c r="F106" s="35"/>
      <c r="G106" s="38" t="s">
        <v>20</v>
      </c>
      <c r="H106" s="35" t="s">
        <v>16</v>
      </c>
      <c r="J106" s="66">
        <v>1945</v>
      </c>
      <c r="K106" s="19">
        <v>1961</v>
      </c>
      <c r="L106" s="24">
        <v>38.045942115589298</v>
      </c>
      <c r="M106" s="24">
        <v>-108.907518637859</v>
      </c>
      <c r="N106" s="21"/>
      <c r="O106" s="46"/>
      <c r="P106" s="11"/>
    </row>
    <row r="107" spans="2:16" x14ac:dyDescent="0.25">
      <c r="B107" s="9"/>
      <c r="C107" s="35" t="s">
        <v>59</v>
      </c>
      <c r="D107" s="43" t="s">
        <v>293</v>
      </c>
      <c r="E107" s="38" t="s">
        <v>256</v>
      </c>
      <c r="F107" s="35"/>
      <c r="G107" s="38" t="s">
        <v>20</v>
      </c>
      <c r="H107" s="35" t="s">
        <v>16</v>
      </c>
      <c r="J107" s="66">
        <v>1956</v>
      </c>
      <c r="K107" s="19">
        <v>1986</v>
      </c>
      <c r="L107" s="70" t="s">
        <v>341</v>
      </c>
      <c r="M107" s="70" t="s">
        <v>342</v>
      </c>
      <c r="N107" s="21"/>
      <c r="O107" s="46"/>
      <c r="P107" s="11"/>
    </row>
    <row r="108" spans="2:16" x14ac:dyDescent="0.25">
      <c r="B108" s="9"/>
      <c r="C108" s="5" t="s">
        <v>90</v>
      </c>
      <c r="D108" s="43" t="s">
        <v>305</v>
      </c>
      <c r="E108" s="15" t="s">
        <v>256</v>
      </c>
      <c r="F108" s="5" t="s">
        <v>8</v>
      </c>
      <c r="G108" t="s">
        <v>36</v>
      </c>
      <c r="H108" s="5" t="s">
        <v>16</v>
      </c>
      <c r="I108" t="s">
        <v>63</v>
      </c>
      <c r="J108" s="54">
        <v>1981</v>
      </c>
      <c r="K108" s="11">
        <v>1983</v>
      </c>
      <c r="L108" s="24">
        <v>42.051986841319497</v>
      </c>
      <c r="M108" s="24">
        <v>-107.911378225733</v>
      </c>
      <c r="N108" s="11"/>
      <c r="P108" s="11"/>
    </row>
    <row r="109" spans="2:16" x14ac:dyDescent="0.25">
      <c r="B109" s="9"/>
      <c r="C109" s="35" t="s">
        <v>329</v>
      </c>
      <c r="D109" s="43" t="s">
        <v>315</v>
      </c>
      <c r="E109" s="38" t="s">
        <v>256</v>
      </c>
      <c r="F109" s="35"/>
      <c r="G109" s="38" t="s">
        <v>314</v>
      </c>
      <c r="H109" s="35" t="s">
        <v>16</v>
      </c>
      <c r="J109" s="80">
        <v>1970</v>
      </c>
      <c r="K109" s="21">
        <v>1973</v>
      </c>
      <c r="L109" s="24">
        <v>28.5169233161463</v>
      </c>
      <c r="M109" s="24">
        <v>-98.103722800184102</v>
      </c>
      <c r="N109" s="21"/>
      <c r="O109" s="46"/>
      <c r="P109" s="11"/>
    </row>
    <row r="110" spans="2:16" x14ac:dyDescent="0.25">
      <c r="B110" s="9"/>
      <c r="C110" s="35" t="s">
        <v>250</v>
      </c>
      <c r="D110" s="43" t="s">
        <v>350</v>
      </c>
      <c r="E110" s="38" t="s">
        <v>256</v>
      </c>
      <c r="F110" s="35"/>
      <c r="G110" s="38" t="s">
        <v>20</v>
      </c>
      <c r="H110" s="35" t="s">
        <v>16</v>
      </c>
      <c r="J110" s="66">
        <v>1956</v>
      </c>
      <c r="K110" s="19">
        <v>1966</v>
      </c>
      <c r="L110" s="24" t="s">
        <v>348</v>
      </c>
      <c r="M110" s="24" t="s">
        <v>349</v>
      </c>
      <c r="N110" s="21"/>
      <c r="O110" s="46"/>
      <c r="P110" s="11"/>
    </row>
    <row r="111" spans="2:16" x14ac:dyDescent="0.25">
      <c r="B111" s="9"/>
      <c r="C111" s="5" t="s">
        <v>328</v>
      </c>
      <c r="D111" s="43" t="s">
        <v>262</v>
      </c>
      <c r="E111" t="s">
        <v>261</v>
      </c>
      <c r="F111" s="5" t="s">
        <v>8</v>
      </c>
      <c r="G111" t="s">
        <v>20</v>
      </c>
      <c r="H111" s="5" t="s">
        <v>16</v>
      </c>
      <c r="I111" t="s">
        <v>99</v>
      </c>
      <c r="J111" s="54">
        <v>1948</v>
      </c>
      <c r="K111" s="11">
        <v>1984</v>
      </c>
      <c r="L111" s="24">
        <v>38.360761730308901</v>
      </c>
      <c r="M111" s="24">
        <v>-108.754414425901</v>
      </c>
      <c r="N111" s="11"/>
      <c r="P111" s="11"/>
    </row>
    <row r="112" spans="2:16" x14ac:dyDescent="0.25">
      <c r="B112" s="9"/>
      <c r="C112" s="5" t="s">
        <v>291</v>
      </c>
      <c r="D112" s="43" t="s">
        <v>293</v>
      </c>
      <c r="E112" t="s">
        <v>236</v>
      </c>
      <c r="F112" s="5" t="s">
        <v>8</v>
      </c>
      <c r="G112" t="s">
        <v>20</v>
      </c>
      <c r="H112" s="5" t="s">
        <v>16</v>
      </c>
      <c r="I112" t="s">
        <v>100</v>
      </c>
      <c r="J112" s="76">
        <v>1978</v>
      </c>
      <c r="K112" s="83">
        <v>1984</v>
      </c>
      <c r="L112" s="24">
        <v>47.876408628701</v>
      </c>
      <c r="M112" s="65">
        <v>-118.105035529765</v>
      </c>
      <c r="N112" s="11"/>
      <c r="P112" s="11"/>
    </row>
    <row r="113" spans="2:16" x14ac:dyDescent="0.25">
      <c r="B113" s="9"/>
      <c r="C113" s="5" t="s">
        <v>101</v>
      </c>
      <c r="D113" s="43" t="s">
        <v>282</v>
      </c>
      <c r="E113" s="15" t="s">
        <v>256</v>
      </c>
      <c r="F113" s="5" t="s">
        <v>8</v>
      </c>
      <c r="G113" t="s">
        <v>15</v>
      </c>
      <c r="H113" s="5" t="s">
        <v>16</v>
      </c>
      <c r="I113" t="s">
        <v>102</v>
      </c>
      <c r="J113" s="54">
        <v>1980</v>
      </c>
      <c r="K113" s="84">
        <v>1997</v>
      </c>
      <c r="L113" s="23">
        <v>37.535333756236298</v>
      </c>
      <c r="M113" s="23">
        <v>-109.502449980381</v>
      </c>
      <c r="N113" s="11"/>
      <c r="P113" s="11"/>
    </row>
    <row r="114" spans="2:16" x14ac:dyDescent="0.25">
      <c r="B114" s="9"/>
      <c r="C114" s="5" t="s">
        <v>35</v>
      </c>
      <c r="D114" s="43" t="s">
        <v>253</v>
      </c>
      <c r="E114" t="s">
        <v>269</v>
      </c>
      <c r="F114" s="5" t="s">
        <v>8</v>
      </c>
      <c r="G114" s="15" t="s">
        <v>15</v>
      </c>
      <c r="H114" s="5" t="s">
        <v>16</v>
      </c>
      <c r="I114" t="s">
        <v>37</v>
      </c>
      <c r="J114" s="54">
        <v>1989</v>
      </c>
      <c r="K114" s="84">
        <v>2000</v>
      </c>
      <c r="L114" s="24">
        <v>43.804167</v>
      </c>
      <c r="M114" s="24">
        <v>-106.03527800000001</v>
      </c>
      <c r="N114" s="21"/>
      <c r="O114" s="18"/>
      <c r="P114" s="11"/>
    </row>
    <row r="115" spans="2:16" x14ac:dyDescent="0.25">
      <c r="B115" s="9"/>
      <c r="C115" s="5" t="s">
        <v>357</v>
      </c>
      <c r="D115" s="43" t="s">
        <v>253</v>
      </c>
      <c r="E115" t="s">
        <v>272</v>
      </c>
      <c r="F115" s="5" t="s">
        <v>8</v>
      </c>
      <c r="G115" t="s">
        <v>36</v>
      </c>
      <c r="H115" s="5" t="s">
        <v>16</v>
      </c>
      <c r="I115" t="s">
        <v>58</v>
      </c>
      <c r="J115" s="54">
        <v>1978</v>
      </c>
      <c r="K115" s="11"/>
      <c r="L115" s="24">
        <v>43.888484273383099</v>
      </c>
      <c r="M115" s="24">
        <v>-106.128600085568</v>
      </c>
      <c r="N115" s="21"/>
      <c r="O115" s="18"/>
      <c r="P115" s="11"/>
    </row>
    <row r="116" spans="2:16" x14ac:dyDescent="0.25">
      <c r="B116" s="9"/>
      <c r="C116" s="5" t="s">
        <v>188</v>
      </c>
      <c r="D116" s="43" t="s">
        <v>253</v>
      </c>
      <c r="E116" s="15" t="s">
        <v>268</v>
      </c>
      <c r="F116" s="5" t="s">
        <v>8</v>
      </c>
      <c r="G116" s="16" t="s">
        <v>238</v>
      </c>
      <c r="H116" s="35" t="s">
        <v>16</v>
      </c>
      <c r="I116" t="s">
        <v>183</v>
      </c>
      <c r="J116" s="66"/>
      <c r="K116" s="11"/>
      <c r="L116" s="24">
        <v>28.867164013161201</v>
      </c>
      <c r="M116" s="24">
        <v>-97.352987152761202</v>
      </c>
      <c r="N116" s="21"/>
      <c r="O116" s="18"/>
      <c r="P116" s="11"/>
    </row>
    <row r="117" spans="2:16" x14ac:dyDescent="0.25">
      <c r="B117" s="9"/>
      <c r="C117" s="5" t="s">
        <v>55</v>
      </c>
      <c r="D117" s="43" t="s">
        <v>253</v>
      </c>
      <c r="E117" t="s">
        <v>269</v>
      </c>
      <c r="F117" s="5" t="s">
        <v>8</v>
      </c>
      <c r="G117" s="16" t="s">
        <v>238</v>
      </c>
      <c r="H117" s="5" t="s">
        <v>16</v>
      </c>
      <c r="I117" t="s">
        <v>56</v>
      </c>
      <c r="J117" s="54">
        <v>1979</v>
      </c>
      <c r="K117" s="11"/>
      <c r="L117" s="23">
        <v>28.9452222958619</v>
      </c>
      <c r="M117" s="23">
        <v>-97.988367975157004</v>
      </c>
      <c r="N117" s="19"/>
      <c r="O117" s="38"/>
      <c r="P117" s="11"/>
    </row>
    <row r="118" spans="2:16" x14ac:dyDescent="0.25">
      <c r="B118" s="9"/>
      <c r="C118" s="39" t="s">
        <v>192</v>
      </c>
      <c r="D118" s="43" t="s">
        <v>253</v>
      </c>
      <c r="E118" s="15" t="s">
        <v>268</v>
      </c>
      <c r="F118" s="5" t="s">
        <v>8</v>
      </c>
      <c r="G118" s="16" t="s">
        <v>238</v>
      </c>
      <c r="H118" s="5" t="s">
        <v>16</v>
      </c>
      <c r="I118" t="s">
        <v>56</v>
      </c>
      <c r="J118" s="54">
        <v>2010</v>
      </c>
      <c r="K118" s="11"/>
      <c r="L118" s="24">
        <v>27.673020077511701</v>
      </c>
      <c r="M118" s="24">
        <v>-98.394562928191604</v>
      </c>
      <c r="N118" s="11"/>
      <c r="P118" s="11"/>
    </row>
    <row r="119" spans="2:16" x14ac:dyDescent="0.25">
      <c r="B119" s="9"/>
      <c r="C119" s="5" t="s">
        <v>194</v>
      </c>
      <c r="D119" s="43" t="s">
        <v>296</v>
      </c>
      <c r="E119" s="15" t="s">
        <v>268</v>
      </c>
      <c r="F119" s="5" t="s">
        <v>8</v>
      </c>
      <c r="G119" s="16" t="s">
        <v>238</v>
      </c>
      <c r="H119" s="5" t="s">
        <v>16</v>
      </c>
      <c r="I119" t="s">
        <v>191</v>
      </c>
      <c r="J119" s="54">
        <v>2010</v>
      </c>
      <c r="K119" s="11"/>
      <c r="L119" s="24">
        <v>43.575930385646501</v>
      </c>
      <c r="M119" s="24">
        <v>-105.831549057833</v>
      </c>
      <c r="N119" s="11"/>
      <c r="P119" s="11"/>
    </row>
    <row r="120" spans="2:16" x14ac:dyDescent="0.25">
      <c r="B120" s="9"/>
      <c r="C120" s="35" t="s">
        <v>212</v>
      </c>
      <c r="D120" s="43" t="s">
        <v>253</v>
      </c>
      <c r="E120" s="38" t="s">
        <v>268</v>
      </c>
      <c r="F120" s="35"/>
      <c r="G120" s="38" t="s">
        <v>313</v>
      </c>
      <c r="H120" s="35" t="s">
        <v>16</v>
      </c>
      <c r="J120" s="66"/>
      <c r="K120" s="19"/>
      <c r="L120" s="24">
        <v>43.643085538111698</v>
      </c>
      <c r="M120" s="24">
        <v>-105.68839133857099</v>
      </c>
      <c r="N120" s="21"/>
      <c r="O120" s="46"/>
      <c r="P120" s="11"/>
    </row>
    <row r="121" spans="2:16" x14ac:dyDescent="0.25">
      <c r="B121" s="9"/>
      <c r="C121" s="5" t="s">
        <v>132</v>
      </c>
      <c r="D121" s="43" t="s">
        <v>286</v>
      </c>
      <c r="E121" t="s">
        <v>237</v>
      </c>
      <c r="F121" s="5" t="s">
        <v>8</v>
      </c>
      <c r="G121" t="s">
        <v>15</v>
      </c>
      <c r="H121" s="5" t="s">
        <v>16</v>
      </c>
      <c r="I121" t="s">
        <v>56</v>
      </c>
      <c r="J121" s="54">
        <v>2005</v>
      </c>
      <c r="K121" s="11"/>
      <c r="L121" s="24">
        <v>26.902424900242199</v>
      </c>
      <c r="M121" s="24">
        <v>-98.314675857595503</v>
      </c>
      <c r="N121" s="21"/>
      <c r="O121" s="46"/>
      <c r="P121" s="21"/>
    </row>
    <row r="122" spans="2:16" x14ac:dyDescent="0.25">
      <c r="B122" s="9"/>
      <c r="C122" s="5" t="s">
        <v>28</v>
      </c>
      <c r="D122" s="43" t="s">
        <v>274</v>
      </c>
      <c r="E122" s="16" t="s">
        <v>239</v>
      </c>
      <c r="F122" s="5" t="s">
        <v>8</v>
      </c>
      <c r="G122" t="s">
        <v>20</v>
      </c>
      <c r="H122" s="5" t="s">
        <v>16</v>
      </c>
      <c r="I122" t="s">
        <v>29</v>
      </c>
      <c r="J122" s="54">
        <v>1977</v>
      </c>
      <c r="K122" s="11">
        <v>1980</v>
      </c>
      <c r="L122" s="47">
        <v>27.425433298893498</v>
      </c>
      <c r="M122" s="47">
        <v>-98.783653648215505</v>
      </c>
      <c r="N122" s="21"/>
      <c r="O122" s="46"/>
      <c r="P122" s="11"/>
    </row>
    <row r="123" spans="2:16" x14ac:dyDescent="0.25">
      <c r="B123" s="9"/>
      <c r="C123" s="5" t="s">
        <v>30</v>
      </c>
      <c r="D123" s="43"/>
      <c r="E123" s="15" t="s">
        <v>239</v>
      </c>
      <c r="F123" s="5" t="s">
        <v>8</v>
      </c>
      <c r="G123" t="s">
        <v>20</v>
      </c>
      <c r="H123" s="5" t="s">
        <v>16</v>
      </c>
      <c r="I123" t="s">
        <v>27</v>
      </c>
      <c r="J123" s="54">
        <v>1977</v>
      </c>
      <c r="K123" s="11">
        <v>1987</v>
      </c>
      <c r="L123" s="24">
        <v>28.253078529292502</v>
      </c>
      <c r="M123" s="24">
        <v>-98.193863162510397</v>
      </c>
      <c r="N123" s="21"/>
      <c r="O123" s="46"/>
      <c r="P123" s="11"/>
    </row>
    <row r="124" spans="2:16" x14ac:dyDescent="0.25">
      <c r="B124" s="9"/>
      <c r="C124" s="30" t="s">
        <v>356</v>
      </c>
      <c r="D124" s="43" t="s">
        <v>312</v>
      </c>
      <c r="E124" s="12" t="s">
        <v>239</v>
      </c>
      <c r="F124" s="5"/>
      <c r="G124" s="38" t="s">
        <v>313</v>
      </c>
      <c r="H124" s="35" t="s">
        <v>16</v>
      </c>
      <c r="J124" s="66"/>
      <c r="K124" s="19"/>
      <c r="L124" s="23">
        <v>35.647538422283397</v>
      </c>
      <c r="M124" s="23">
        <v>-108.50137604277</v>
      </c>
      <c r="N124" s="21"/>
      <c r="O124" s="46"/>
      <c r="P124" s="11"/>
    </row>
    <row r="125" spans="2:16" x14ac:dyDescent="0.25">
      <c r="B125" s="9"/>
      <c r="C125" s="5" t="s">
        <v>38</v>
      </c>
      <c r="D125" s="43"/>
      <c r="E125" s="25" t="s">
        <v>239</v>
      </c>
      <c r="F125" s="5" t="s">
        <v>8</v>
      </c>
      <c r="G125" t="s">
        <v>20</v>
      </c>
      <c r="H125" s="5" t="s">
        <v>16</v>
      </c>
      <c r="I125" t="s">
        <v>27</v>
      </c>
      <c r="J125" s="54">
        <v>1975</v>
      </c>
      <c r="K125" s="11">
        <v>1987</v>
      </c>
      <c r="L125" s="24">
        <v>28.214662570664899</v>
      </c>
      <c r="M125" s="24">
        <v>-98.245616391439498</v>
      </c>
      <c r="N125" s="21"/>
      <c r="O125" s="46"/>
      <c r="P125" s="11"/>
    </row>
    <row r="126" spans="2:16" x14ac:dyDescent="0.25">
      <c r="B126" s="9"/>
      <c r="C126" s="5" t="s">
        <v>115</v>
      </c>
      <c r="D126" s="43"/>
      <c r="E126" t="s">
        <v>237</v>
      </c>
      <c r="F126" s="5" t="s">
        <v>8</v>
      </c>
      <c r="G126" s="15" t="s">
        <v>238</v>
      </c>
      <c r="H126" s="5" t="s">
        <v>16</v>
      </c>
      <c r="I126" t="s">
        <v>56</v>
      </c>
      <c r="J126" s="54">
        <v>1991</v>
      </c>
      <c r="K126" s="11"/>
      <c r="L126" s="23">
        <v>42.645560454898003</v>
      </c>
      <c r="M126" s="23">
        <v>-103.35649035927599</v>
      </c>
      <c r="N126" s="19"/>
      <c r="O126" s="44"/>
      <c r="P126" s="11"/>
    </row>
    <row r="127" spans="2:16" x14ac:dyDescent="0.25">
      <c r="B127" s="9"/>
      <c r="C127" s="66" t="s">
        <v>235</v>
      </c>
      <c r="D127" s="43" t="s">
        <v>286</v>
      </c>
      <c r="E127" s="38" t="s">
        <v>239</v>
      </c>
      <c r="F127" s="35"/>
      <c r="G127" s="38" t="s">
        <v>313</v>
      </c>
      <c r="H127" s="35" t="s">
        <v>16</v>
      </c>
      <c r="J127" s="66"/>
      <c r="K127" s="19"/>
      <c r="L127" s="24">
        <v>43.458581443897302</v>
      </c>
      <c r="M127" s="21">
        <v>-104.030509841769</v>
      </c>
      <c r="N127" s="21"/>
      <c r="O127" s="24"/>
      <c r="P127" s="11"/>
    </row>
    <row r="128" spans="2:16" x14ac:dyDescent="0.25">
      <c r="B128" s="9"/>
      <c r="C128" s="54" t="s">
        <v>94</v>
      </c>
      <c r="D128" s="43" t="s">
        <v>263</v>
      </c>
      <c r="E128" t="s">
        <v>237</v>
      </c>
      <c r="F128" s="5" t="s">
        <v>8</v>
      </c>
      <c r="G128" s="16" t="s">
        <v>231</v>
      </c>
      <c r="H128" s="5" t="s">
        <v>16</v>
      </c>
      <c r="I128" t="s">
        <v>72</v>
      </c>
      <c r="J128" s="78">
        <v>1988</v>
      </c>
      <c r="K128" s="84">
        <v>1992</v>
      </c>
      <c r="L128" s="24">
        <v>27.357985418648099</v>
      </c>
      <c r="M128" s="21">
        <v>-98.734397375447102</v>
      </c>
      <c r="N128" s="21"/>
      <c r="O128" s="24"/>
      <c r="P128" s="11"/>
    </row>
    <row r="129" spans="2:16" x14ac:dyDescent="0.25">
      <c r="B129" s="9"/>
      <c r="C129" s="54" t="s">
        <v>117</v>
      </c>
      <c r="D129" s="43"/>
      <c r="E129" t="s">
        <v>237</v>
      </c>
      <c r="F129" s="5" t="s">
        <v>8</v>
      </c>
      <c r="G129" t="s">
        <v>53</v>
      </c>
      <c r="H129" s="5" t="s">
        <v>16</v>
      </c>
      <c r="I129" t="s">
        <v>37</v>
      </c>
      <c r="J129" s="54">
        <v>1979</v>
      </c>
      <c r="K129" s="11">
        <v>1997</v>
      </c>
      <c r="L129" s="24">
        <v>27.417502478905099</v>
      </c>
      <c r="M129" s="21">
        <v>-98.756021792449204</v>
      </c>
      <c r="N129" s="21"/>
      <c r="O129" s="24"/>
      <c r="P129" s="11"/>
    </row>
    <row r="130" spans="2:16" x14ac:dyDescent="0.25">
      <c r="B130" s="9"/>
      <c r="C130" s="54" t="s">
        <v>294</v>
      </c>
      <c r="D130" s="43" t="s">
        <v>273</v>
      </c>
      <c r="E130" t="s">
        <v>237</v>
      </c>
      <c r="F130" s="5" t="s">
        <v>8</v>
      </c>
      <c r="G130" s="16" t="s">
        <v>231</v>
      </c>
      <c r="H130" s="5" t="s">
        <v>16</v>
      </c>
      <c r="I130" t="s">
        <v>191</v>
      </c>
      <c r="J130" s="54"/>
      <c r="K130" s="11"/>
      <c r="L130" s="24">
        <v>42.2259642970388</v>
      </c>
      <c r="M130" s="21">
        <v>-108.00395049965699</v>
      </c>
      <c r="N130" s="21"/>
      <c r="O130" s="24"/>
      <c r="P130" s="11"/>
    </row>
    <row r="131" spans="2:16" x14ac:dyDescent="0.25">
      <c r="B131" s="9"/>
      <c r="C131" s="54" t="s">
        <v>60</v>
      </c>
      <c r="D131" s="43" t="s">
        <v>279</v>
      </c>
      <c r="E131" s="15" t="s">
        <v>239</v>
      </c>
      <c r="F131" s="5" t="s">
        <v>8</v>
      </c>
      <c r="G131" s="16" t="s">
        <v>238</v>
      </c>
      <c r="H131" s="5" t="s">
        <v>16</v>
      </c>
      <c r="I131" t="s">
        <v>56</v>
      </c>
      <c r="J131" s="54">
        <v>1988</v>
      </c>
      <c r="K131" s="11">
        <v>1999</v>
      </c>
      <c r="L131" s="24">
        <v>27.415153283958301</v>
      </c>
      <c r="M131" s="21">
        <v>-97.780064524966406</v>
      </c>
      <c r="N131" s="11"/>
      <c r="O131" s="9"/>
      <c r="P131" s="11"/>
    </row>
    <row r="132" spans="2:16" x14ac:dyDescent="0.25">
      <c r="B132" s="9"/>
      <c r="C132" s="54" t="s">
        <v>114</v>
      </c>
      <c r="D132" s="48" t="s">
        <v>278</v>
      </c>
      <c r="E132" t="s">
        <v>237</v>
      </c>
      <c r="F132" s="5" t="s">
        <v>8</v>
      </c>
      <c r="G132" t="s">
        <v>20</v>
      </c>
      <c r="H132" s="5" t="s">
        <v>16</v>
      </c>
      <c r="I132" t="s">
        <v>72</v>
      </c>
      <c r="J132" s="54">
        <v>1985</v>
      </c>
      <c r="K132" s="11">
        <v>1988</v>
      </c>
      <c r="L132" s="24">
        <v>28.500723607520499</v>
      </c>
      <c r="M132" s="21">
        <v>-98.056445717866097</v>
      </c>
      <c r="N132" s="11"/>
      <c r="O132" s="9"/>
      <c r="P132" s="11"/>
    </row>
    <row r="133" spans="2:16" x14ac:dyDescent="0.25">
      <c r="B133" s="9"/>
      <c r="C133" s="68" t="s">
        <v>323</v>
      </c>
      <c r="D133" s="43" t="s">
        <v>324</v>
      </c>
      <c r="E133" s="38" t="s">
        <v>239</v>
      </c>
      <c r="F133" s="35"/>
      <c r="G133" s="18" t="s">
        <v>15</v>
      </c>
      <c r="H133" s="35" t="s">
        <v>16</v>
      </c>
      <c r="J133" s="80">
        <v>2024</v>
      </c>
      <c r="K133" s="21"/>
      <c r="L133" s="24">
        <v>44.5767989666384</v>
      </c>
      <c r="M133" s="21">
        <v>-104.93891256181401</v>
      </c>
      <c r="N133" s="21"/>
      <c r="O133" s="24"/>
      <c r="P133" s="11"/>
    </row>
    <row r="134" spans="2:16" x14ac:dyDescent="0.25">
      <c r="B134" s="9"/>
      <c r="C134" s="54" t="s">
        <v>61</v>
      </c>
      <c r="D134" s="43" t="s">
        <v>287</v>
      </c>
      <c r="E134" s="15" t="s">
        <v>239</v>
      </c>
      <c r="F134" s="5" t="s">
        <v>8</v>
      </c>
      <c r="G134" t="s">
        <v>53</v>
      </c>
      <c r="H134" s="5" t="s">
        <v>16</v>
      </c>
      <c r="I134" t="s">
        <v>27</v>
      </c>
      <c r="J134" s="54">
        <v>1981</v>
      </c>
      <c r="K134" s="11">
        <v>1984</v>
      </c>
      <c r="L134" s="24">
        <v>27.375299999999999</v>
      </c>
      <c r="M134" s="21">
        <v>-98.625299999999996</v>
      </c>
      <c r="N134" s="11"/>
      <c r="O134" s="9"/>
      <c r="P134" s="11"/>
    </row>
    <row r="135" spans="2:16" x14ac:dyDescent="0.25">
      <c r="B135" s="9"/>
      <c r="C135" s="54" t="s">
        <v>193</v>
      </c>
      <c r="D135" s="43" t="s">
        <v>283</v>
      </c>
      <c r="E135" t="s">
        <v>237</v>
      </c>
      <c r="F135" s="5" t="s">
        <v>8</v>
      </c>
      <c r="G135" s="16" t="s">
        <v>15</v>
      </c>
      <c r="H135" s="5" t="s">
        <v>16</v>
      </c>
      <c r="I135" t="s">
        <v>191</v>
      </c>
      <c r="J135" s="80">
        <v>2013</v>
      </c>
      <c r="K135" s="11"/>
      <c r="L135" s="46">
        <v>42.137533977491501</v>
      </c>
      <c r="M135" s="24">
        <v>-107.86096374392901</v>
      </c>
      <c r="N135" s="11"/>
      <c r="O135" s="9"/>
      <c r="P135" s="11"/>
    </row>
    <row r="136" spans="2:16" x14ac:dyDescent="0.25">
      <c r="B136" s="9"/>
      <c r="C136" s="54" t="s">
        <v>288</v>
      </c>
      <c r="D136" s="43" t="s">
        <v>289</v>
      </c>
      <c r="E136" t="s">
        <v>237</v>
      </c>
      <c r="F136" s="5" t="s">
        <v>8</v>
      </c>
      <c r="G136" t="s">
        <v>20</v>
      </c>
      <c r="H136" s="5" t="s">
        <v>16</v>
      </c>
      <c r="I136" t="s">
        <v>27</v>
      </c>
      <c r="J136" s="54">
        <v>1983</v>
      </c>
      <c r="K136" s="11">
        <v>1985</v>
      </c>
      <c r="L136" s="24">
        <v>27.328543873919099</v>
      </c>
      <c r="M136" s="21">
        <v>-98.675840728275105</v>
      </c>
      <c r="N136" s="11"/>
      <c r="O136" s="9"/>
      <c r="P136" s="11"/>
    </row>
    <row r="137" spans="2:16" x14ac:dyDescent="0.25">
      <c r="B137" s="9"/>
      <c r="C137" s="54" t="s">
        <v>71</v>
      </c>
      <c r="D137" s="43" t="s">
        <v>297</v>
      </c>
      <c r="E137" t="s">
        <v>237</v>
      </c>
      <c r="F137" s="5" t="s">
        <v>8</v>
      </c>
      <c r="G137" t="s">
        <v>53</v>
      </c>
      <c r="H137" s="5" t="s">
        <v>16</v>
      </c>
      <c r="I137" t="s">
        <v>72</v>
      </c>
      <c r="J137" s="54">
        <v>1984</v>
      </c>
      <c r="K137" s="11">
        <v>1988</v>
      </c>
      <c r="L137" s="46">
        <v>28.1875131236676</v>
      </c>
      <c r="M137" s="46">
        <v>-97.947125041506993</v>
      </c>
      <c r="N137" s="11"/>
      <c r="O137" s="9"/>
      <c r="P137" s="11"/>
    </row>
    <row r="138" spans="2:16" x14ac:dyDescent="0.25">
      <c r="B138" s="9"/>
      <c r="C138" s="88" t="s">
        <v>196</v>
      </c>
      <c r="D138" s="43" t="s">
        <v>282</v>
      </c>
      <c r="E138" t="s">
        <v>237</v>
      </c>
      <c r="F138" s="5" t="s">
        <v>8</v>
      </c>
      <c r="G138" s="15" t="s">
        <v>238</v>
      </c>
      <c r="H138" s="5" t="s">
        <v>16</v>
      </c>
      <c r="I138" t="s">
        <v>183</v>
      </c>
      <c r="J138" s="66">
        <v>2014</v>
      </c>
      <c r="K138" s="19"/>
      <c r="L138" s="44">
        <v>43.697809119407502</v>
      </c>
      <c r="M138" s="44">
        <v>-106.022315524227</v>
      </c>
      <c r="N138" s="11"/>
      <c r="O138" s="9"/>
      <c r="P138" s="11"/>
    </row>
    <row r="139" spans="2:16" x14ac:dyDescent="0.25">
      <c r="B139" s="9"/>
      <c r="C139" s="69" t="s">
        <v>81</v>
      </c>
      <c r="D139" s="43" t="s">
        <v>277</v>
      </c>
      <c r="E139" s="16" t="s">
        <v>239</v>
      </c>
      <c r="F139" s="5" t="s">
        <v>8</v>
      </c>
      <c r="G139" t="s">
        <v>49</v>
      </c>
      <c r="H139" s="5" t="s">
        <v>16</v>
      </c>
      <c r="I139" t="s">
        <v>82</v>
      </c>
      <c r="J139" s="54">
        <v>1969</v>
      </c>
      <c r="K139" s="11">
        <v>1991</v>
      </c>
      <c r="L139" s="46">
        <v>27.683330000000002</v>
      </c>
      <c r="M139" s="46">
        <v>-98.375</v>
      </c>
      <c r="N139" s="11"/>
      <c r="O139" s="9"/>
      <c r="P139" s="11"/>
    </row>
    <row r="140" spans="2:16" x14ac:dyDescent="0.25">
      <c r="B140" s="9"/>
      <c r="C140" s="54" t="s">
        <v>92</v>
      </c>
      <c r="D140" s="43" t="s">
        <v>301</v>
      </c>
      <c r="E140" t="s">
        <v>237</v>
      </c>
      <c r="F140" s="5" t="s">
        <v>8</v>
      </c>
      <c r="G140" s="16" t="s">
        <v>15</v>
      </c>
      <c r="H140" s="5" t="s">
        <v>16</v>
      </c>
      <c r="I140" t="s">
        <v>56</v>
      </c>
      <c r="J140" s="54">
        <v>1990</v>
      </c>
      <c r="K140" s="84">
        <v>1999</v>
      </c>
      <c r="L140" s="89">
        <v>27.804025409231699</v>
      </c>
      <c r="M140" s="89">
        <v>-98.460357799308298</v>
      </c>
      <c r="N140" s="11"/>
      <c r="O140" s="9"/>
      <c r="P140" s="11"/>
    </row>
    <row r="141" spans="2:16" x14ac:dyDescent="0.25">
      <c r="B141" s="9"/>
      <c r="C141" s="66" t="s">
        <v>213</v>
      </c>
      <c r="D141" s="43" t="s">
        <v>316</v>
      </c>
      <c r="E141" s="38" t="s">
        <v>317</v>
      </c>
      <c r="F141" s="35"/>
      <c r="G141" s="38" t="s">
        <v>238</v>
      </c>
      <c r="H141" s="35" t="s">
        <v>16</v>
      </c>
      <c r="J141" s="80">
        <v>2015</v>
      </c>
      <c r="K141" s="19"/>
      <c r="L141" s="46">
        <v>44.574260180847801</v>
      </c>
      <c r="M141" s="46">
        <v>-104.936097443497</v>
      </c>
      <c r="N141" s="21"/>
      <c r="O141" s="24"/>
      <c r="P141" s="11"/>
    </row>
    <row r="142" spans="2:16" x14ac:dyDescent="0.25">
      <c r="B142" s="9"/>
      <c r="C142" s="54" t="s">
        <v>265</v>
      </c>
      <c r="D142" s="43" t="s">
        <v>266</v>
      </c>
      <c r="E142" t="s">
        <v>237</v>
      </c>
      <c r="F142" s="5" t="s">
        <v>8</v>
      </c>
      <c r="G142" s="16" t="s">
        <v>238</v>
      </c>
      <c r="H142" s="5" t="s">
        <v>16</v>
      </c>
      <c r="I142" t="s">
        <v>93</v>
      </c>
      <c r="J142" s="81">
        <v>1975</v>
      </c>
      <c r="K142" s="21">
        <v>2016</v>
      </c>
      <c r="L142" s="44">
        <v>43.053806690225201</v>
      </c>
      <c r="M142" s="44">
        <v>-105.684793944627</v>
      </c>
      <c r="N142" s="19"/>
      <c r="O142" s="23"/>
      <c r="P142" s="11"/>
    </row>
    <row r="143" spans="2:16" x14ac:dyDescent="0.25">
      <c r="B143" s="9"/>
      <c r="C143" s="54" t="s">
        <v>96</v>
      </c>
      <c r="D143" s="48" t="s">
        <v>306</v>
      </c>
      <c r="E143" t="s">
        <v>237</v>
      </c>
      <c r="F143" s="5" t="s">
        <v>8</v>
      </c>
      <c r="G143" t="s">
        <v>20</v>
      </c>
      <c r="H143" s="5" t="s">
        <v>16</v>
      </c>
      <c r="I143" t="s">
        <v>97</v>
      </c>
      <c r="J143" s="54">
        <v>1981</v>
      </c>
      <c r="K143" s="11">
        <v>1985</v>
      </c>
      <c r="L143" s="46">
        <v>27.421318666853601</v>
      </c>
      <c r="M143" s="46">
        <v>-98.691128099108795</v>
      </c>
      <c r="N143" s="11"/>
      <c r="O143" s="9"/>
      <c r="P143" s="11"/>
    </row>
    <row r="144" spans="2:16" x14ac:dyDescent="0.25">
      <c r="B144" s="9"/>
      <c r="C144" s="54" t="s">
        <v>177</v>
      </c>
      <c r="D144" s="43" t="s">
        <v>279</v>
      </c>
      <c r="E144" t="s">
        <v>237</v>
      </c>
      <c r="F144" s="5" t="s">
        <v>8</v>
      </c>
      <c r="G144" s="16" t="s">
        <v>53</v>
      </c>
      <c r="H144" s="5" t="s">
        <v>16</v>
      </c>
      <c r="I144" t="s">
        <v>178</v>
      </c>
      <c r="J144" s="54">
        <v>2004</v>
      </c>
      <c r="K144" s="21">
        <v>2008</v>
      </c>
      <c r="L144" s="46">
        <v>31.968333000000001</v>
      </c>
      <c r="M144" s="46">
        <v>-99.901667000000003</v>
      </c>
      <c r="N144" s="11"/>
      <c r="O144" s="9"/>
      <c r="P144" s="11"/>
    </row>
    <row r="145" spans="2:16" x14ac:dyDescent="0.25">
      <c r="B145" s="9"/>
      <c r="C145" s="54" t="s">
        <v>118</v>
      </c>
      <c r="D145" s="43" t="s">
        <v>307</v>
      </c>
      <c r="E145" s="15" t="s">
        <v>239</v>
      </c>
      <c r="F145" s="5" t="s">
        <v>8</v>
      </c>
      <c r="G145" t="s">
        <v>20</v>
      </c>
      <c r="H145" s="5" t="s">
        <v>16</v>
      </c>
      <c r="I145" t="s">
        <v>119</v>
      </c>
      <c r="J145" s="54">
        <v>1981</v>
      </c>
      <c r="K145" s="11">
        <v>1989</v>
      </c>
      <c r="L145" s="46">
        <v>27.452413512386901</v>
      </c>
      <c r="M145" s="46">
        <v>-98.837279718888297</v>
      </c>
      <c r="N145" s="11"/>
      <c r="O145" s="9"/>
      <c r="P145" s="11"/>
    </row>
    <row r="146" spans="2:16" x14ac:dyDescent="0.25">
      <c r="B146" s="9"/>
      <c r="C146" s="54" t="s">
        <v>106</v>
      </c>
      <c r="D146" s="43" t="s">
        <v>278</v>
      </c>
      <c r="E146" t="s">
        <v>237</v>
      </c>
      <c r="F146" s="5" t="s">
        <v>8</v>
      </c>
      <c r="G146" t="s">
        <v>20</v>
      </c>
      <c r="H146" s="5" t="s">
        <v>16</v>
      </c>
      <c r="I146" t="s">
        <v>107</v>
      </c>
      <c r="J146" s="54">
        <v>1977</v>
      </c>
      <c r="K146" s="11">
        <v>1986</v>
      </c>
      <c r="L146" s="46">
        <v>28.4972333891075</v>
      </c>
      <c r="M146" s="46">
        <v>-98.063421249826206</v>
      </c>
      <c r="N146" s="11"/>
      <c r="O146" s="9"/>
      <c r="P146" s="11"/>
    </row>
    <row r="147" spans="2:16" x14ac:dyDescent="0.25">
      <c r="B147" s="9"/>
      <c r="C147" s="54" t="s">
        <v>112</v>
      </c>
      <c r="D147" s="43"/>
      <c r="E147" t="s">
        <v>267</v>
      </c>
      <c r="F147" s="5" t="s">
        <v>8</v>
      </c>
      <c r="G147" t="s">
        <v>113</v>
      </c>
      <c r="H147" s="5" t="s">
        <v>16</v>
      </c>
      <c r="I147" t="s">
        <v>27</v>
      </c>
      <c r="J147" s="80">
        <v>1954</v>
      </c>
      <c r="K147" s="21">
        <v>1972</v>
      </c>
      <c r="L147" s="24">
        <v>38.501305568847201</v>
      </c>
      <c r="M147" s="21">
        <v>-105.467956311956</v>
      </c>
      <c r="N147" s="21"/>
      <c r="O147" s="24"/>
      <c r="P147" s="11"/>
    </row>
    <row r="148" spans="2:16" x14ac:dyDescent="0.25">
      <c r="B148" s="9"/>
      <c r="C148" s="66" t="s">
        <v>249</v>
      </c>
      <c r="D148" s="43" t="s">
        <v>346</v>
      </c>
      <c r="E148" s="38" t="s">
        <v>347</v>
      </c>
      <c r="F148" s="35"/>
      <c r="G148" s="38" t="s">
        <v>20</v>
      </c>
      <c r="H148" s="35" t="s">
        <v>16</v>
      </c>
      <c r="J148" s="66">
        <v>1962</v>
      </c>
      <c r="K148" s="19">
        <v>1965</v>
      </c>
      <c r="L148" s="70" t="s">
        <v>344</v>
      </c>
      <c r="M148" s="71" t="s">
        <v>345</v>
      </c>
      <c r="N148" s="21"/>
      <c r="O148" s="24"/>
      <c r="P148" s="11"/>
    </row>
    <row r="149" spans="2:16" x14ac:dyDescent="0.25">
      <c r="B149" s="9"/>
      <c r="C149" s="53" t="s">
        <v>73</v>
      </c>
      <c r="D149" s="43" t="s">
        <v>308</v>
      </c>
      <c r="E149" t="s">
        <v>43</v>
      </c>
      <c r="F149" s="5" t="s">
        <v>8</v>
      </c>
      <c r="G149" t="s">
        <v>20</v>
      </c>
      <c r="H149" s="5" t="s">
        <v>16</v>
      </c>
      <c r="I149" t="s">
        <v>74</v>
      </c>
      <c r="J149" s="54">
        <v>1976</v>
      </c>
      <c r="K149" s="11">
        <v>1980</v>
      </c>
      <c r="L149" s="23">
        <v>27.832375771891801</v>
      </c>
      <c r="M149" s="23">
        <v>-82.051853842148901</v>
      </c>
      <c r="N149" s="11"/>
      <c r="P149" s="11"/>
    </row>
    <row r="150" spans="2:16" x14ac:dyDescent="0.25">
      <c r="B150" s="9"/>
      <c r="C150" s="5" t="s">
        <v>42</v>
      </c>
      <c r="D150" s="43" t="s">
        <v>308</v>
      </c>
      <c r="E150" t="s">
        <v>43</v>
      </c>
      <c r="F150" s="5" t="s">
        <v>8</v>
      </c>
      <c r="G150" t="s">
        <v>36</v>
      </c>
      <c r="H150" s="5" t="s">
        <v>16</v>
      </c>
      <c r="I150" t="s">
        <v>44</v>
      </c>
      <c r="J150" s="54">
        <v>1981</v>
      </c>
      <c r="K150" s="11">
        <v>1999</v>
      </c>
      <c r="L150" s="23">
        <v>30.083321120199699</v>
      </c>
      <c r="M150" s="23">
        <v>-90.9151612050604</v>
      </c>
      <c r="N150" s="11"/>
      <c r="P150" s="11"/>
    </row>
    <row r="151" spans="2:16" x14ac:dyDescent="0.25">
      <c r="B151" s="9"/>
      <c r="C151" s="53" t="s">
        <v>130</v>
      </c>
      <c r="D151" s="43" t="s">
        <v>308</v>
      </c>
      <c r="E151" t="s">
        <v>43</v>
      </c>
      <c r="F151" s="5" t="s">
        <v>8</v>
      </c>
      <c r="G151" t="s">
        <v>36</v>
      </c>
      <c r="H151" s="5" t="s">
        <v>16</v>
      </c>
      <c r="I151" t="s">
        <v>131</v>
      </c>
      <c r="J151" s="54">
        <v>1980</v>
      </c>
      <c r="K151" s="11">
        <v>1992</v>
      </c>
      <c r="L151" s="23">
        <v>27.832869075326599</v>
      </c>
      <c r="M151" s="23">
        <v>-82.054109912521696</v>
      </c>
      <c r="N151" s="11"/>
      <c r="P151" s="11"/>
    </row>
    <row r="152" spans="2:16" x14ac:dyDescent="0.25">
      <c r="B152" s="9"/>
      <c r="C152" s="53" t="s">
        <v>86</v>
      </c>
      <c r="D152" s="43" t="s">
        <v>308</v>
      </c>
      <c r="E152" t="s">
        <v>43</v>
      </c>
      <c r="F152" s="5" t="s">
        <v>8</v>
      </c>
      <c r="G152" t="s">
        <v>36</v>
      </c>
      <c r="H152" s="5" t="s">
        <v>16</v>
      </c>
      <c r="I152" t="s">
        <v>87</v>
      </c>
      <c r="J152" s="54">
        <v>1981</v>
      </c>
      <c r="K152" s="11">
        <v>1992</v>
      </c>
      <c r="L152" s="23">
        <v>27.832869075326599</v>
      </c>
      <c r="M152" s="23">
        <v>-82.054109912521696</v>
      </c>
      <c r="N152" s="11"/>
      <c r="P152" s="11"/>
    </row>
    <row r="153" spans="2:16" x14ac:dyDescent="0.25">
      <c r="B153" s="9"/>
      <c r="C153" s="5" t="s">
        <v>98</v>
      </c>
      <c r="D153" s="43" t="s">
        <v>308</v>
      </c>
      <c r="E153" t="s">
        <v>43</v>
      </c>
      <c r="F153" s="5" t="s">
        <v>8</v>
      </c>
      <c r="G153" t="s">
        <v>36</v>
      </c>
      <c r="H153" s="5" t="s">
        <v>16</v>
      </c>
      <c r="I153" t="s">
        <v>63</v>
      </c>
      <c r="J153" s="54">
        <v>1978</v>
      </c>
      <c r="K153" s="11">
        <v>1999</v>
      </c>
      <c r="L153" s="23">
        <v>30.039325579812299</v>
      </c>
      <c r="M153" s="23">
        <v>-90.830574685332905</v>
      </c>
      <c r="N153" s="11"/>
      <c r="P153" s="11"/>
    </row>
  </sheetData>
  <mergeCells count="1">
    <mergeCell ref="B2:C2"/>
  </mergeCells>
  <conditionalFormatting sqref="L17:M21">
    <cfRule type="expression" dxfId="19" priority="44">
      <formula>FIND("http",CELL("contents",L17))</formula>
    </cfRule>
  </conditionalFormatting>
  <conditionalFormatting sqref="L23:M26">
    <cfRule type="expression" dxfId="18" priority="49">
      <formula>FIND("http",CELL("contents",L23))</formula>
    </cfRule>
  </conditionalFormatting>
  <conditionalFormatting sqref="L29:M30">
    <cfRule type="expression" dxfId="17" priority="47">
      <formula>FIND("http",CELL("contents",L29))</formula>
    </cfRule>
  </conditionalFormatting>
  <conditionalFormatting sqref="L32:M32">
    <cfRule type="expression" dxfId="16" priority="46">
      <formula>FIND("http",CELL("contents",L32))</formula>
    </cfRule>
  </conditionalFormatting>
  <conditionalFormatting sqref="L46:M46">
    <cfRule type="expression" dxfId="15" priority="45">
      <formula>FIND("http",CELL("contents",L46))</formula>
    </cfRule>
  </conditionalFormatting>
  <conditionalFormatting sqref="L62:M62">
    <cfRule type="expression" dxfId="14" priority="43">
      <formula>FIND("http",CELL("contents",L62))</formula>
    </cfRule>
  </conditionalFormatting>
  <conditionalFormatting sqref="L75:M77">
    <cfRule type="expression" dxfId="13" priority="41">
      <formula>FIND("http",CELL("contents",L75))</formula>
    </cfRule>
  </conditionalFormatting>
  <conditionalFormatting sqref="L80:M85">
    <cfRule type="expression" dxfId="12" priority="35">
      <formula>FIND("http",CELL("contents",L80))</formula>
    </cfRule>
  </conditionalFormatting>
  <conditionalFormatting sqref="L87:M91">
    <cfRule type="expression" dxfId="11" priority="31">
      <formula>FIND("http",CELL("contents",L87))</formula>
    </cfRule>
  </conditionalFormatting>
  <conditionalFormatting sqref="L93:M95">
    <cfRule type="expression" dxfId="10" priority="27">
      <formula>FIND("http",CELL("contents",L93))</formula>
    </cfRule>
  </conditionalFormatting>
  <conditionalFormatting sqref="L97:M97">
    <cfRule type="expression" dxfId="9" priority="26">
      <formula>FIND("http",CELL("contents",L97))</formula>
    </cfRule>
  </conditionalFormatting>
  <conditionalFormatting sqref="L99:M105">
    <cfRule type="expression" dxfId="8" priority="19">
      <formula>FIND("http",CELL("contents",L99))</formula>
    </cfRule>
  </conditionalFormatting>
  <conditionalFormatting sqref="L107:M109">
    <cfRule type="expression" dxfId="7" priority="17">
      <formula>FIND("http",CELL("contents",L107))</formula>
    </cfRule>
  </conditionalFormatting>
  <conditionalFormatting sqref="L111:M115">
    <cfRule type="expression" dxfId="6" priority="12">
      <formula>FIND("http",CELL("contents",L111))</formula>
    </cfRule>
  </conditionalFormatting>
  <conditionalFormatting sqref="L118:M121">
    <cfRule type="expression" dxfId="5" priority="8">
      <formula>FIND("http",CELL("contents",L118))</formula>
    </cfRule>
  </conditionalFormatting>
  <conditionalFormatting sqref="L123:M123">
    <cfRule type="expression" dxfId="4" priority="7">
      <formula>FIND("http",CELL("contents",L123))</formula>
    </cfRule>
  </conditionalFormatting>
  <conditionalFormatting sqref="L125:M125">
    <cfRule type="expression" dxfId="3" priority="6">
      <formula>FIND("http",CELL("contents",L125))</formula>
    </cfRule>
  </conditionalFormatting>
  <conditionalFormatting sqref="L149:M153">
    <cfRule type="expression" dxfId="2" priority="1">
      <formula>FIND("http",CELL("contents",L149))</formula>
    </cfRule>
  </conditionalFormatting>
  <conditionalFormatting sqref="L10:O14 N17:O21 N23:O26 N29:O30 N32:O32 N46:O46 N62:O62 N75:O77 N80:O85 N87:O91">
    <cfRule type="expression" dxfId="1" priority="55">
      <formula>FIND("http",CELL("contents",L10))</formula>
    </cfRule>
  </conditionalFormatting>
  <conditionalFormatting sqref="P10:P14 P17:P21 P23:P26 P29:P30 P32">
    <cfRule type="expression" dxfId="0" priority="66">
      <formula>FIND("http",CELL("contents",P10))</formula>
    </cfRule>
  </conditionalFormatting>
  <hyperlinks>
    <hyperlink ref="G16" r:id="rId1" xr:uid="{1199B941-C50B-4E10-ADC3-88068A1B94D5}"/>
    <hyperlink ref="L20:M20" r:id="rId2" display="https://lmpublicsearch.lm.doe.gov/SitePages/default.aspx?sitename=Attleboro" xr:uid="{2D295799-D18A-4F10-A44A-A80B246315B4}"/>
    <hyperlink ref="L121:M121" r:id="rId3" display="https://encoreuranium.com/wp-content/uploads/2023/02/TechReport.pdf?utm" xr:uid="{5FD9C536-0269-46FE-A4FC-2407E6EC4A73}"/>
    <hyperlink ref="L72:M72" r:id="rId4" display="https://www.nrc.gov/info-finder/decommissioning/uranium/rio-algom-ambrosia-lake.html" xr:uid="{CCC1CB74-7AAD-426D-A691-638EC82D1761}"/>
    <hyperlink ref="L23:M23" r:id="rId5" display="https://www.nrc.gov/docs/ML0413/ML041310388.pdf" xr:uid="{ED2C9552-4853-4BD1-A673-550D44F635D8}"/>
    <hyperlink ref="L27:M27" r:id="rId6" display="https://lmpublicsearch.lm.doe.gov/lmsites/7210-ash 000019.pdf" xr:uid="{4441BEA8-B9A0-4BEB-A11C-B474EE4EFC24}"/>
    <hyperlink ref="G27" r:id="rId7" xr:uid="{5198C2E9-B48B-47FF-AC1F-B6E58A099219}"/>
    <hyperlink ref="J16" r:id="rId8" display="https://www.nrc.gov/info-finder/fc/triso-x" xr:uid="{DD728738-C2C7-4454-96DE-2E5426271732}"/>
    <hyperlink ref="L29:M29" r:id="rId9" display="https://www.energy.gov/lm/articles/colonie-new-york-site-fact-sheet" xr:uid="{3D64DB7A-3403-44C7-AF9A-0777B0089E60}"/>
    <hyperlink ref="L30:M30" r:id="rId10" display="https://www.youtube.com/watch?v=SS_vzdhtMJU" xr:uid="{322D259B-1872-4AD7-B888-9FFBB0C9716E}"/>
    <hyperlink ref="L33:M33" r:id="rId11" display="https://www.nrc.gov/docs/ML2000/ML20003H133.pdf" xr:uid="{D42BB1AE-338E-4075-816D-A8008EEEE3A8}"/>
    <hyperlink ref="G39" r:id="rId12" display="Others" xr:uid="{FA958AF9-0F71-4E05-BD86-63B5915C49C1}"/>
    <hyperlink ref="L41:M41" r:id="rId13" display="https://www.energy.gov/etec/nuclear-materials-development-facility" xr:uid="{3830076B-4AC2-4630-8E1B-6361371B2881}"/>
    <hyperlink ref="L40:M40" r:id="rId14" display="https://unicoicounty.org/directory/nuclear-fuel-services/" xr:uid="{822CECD2-A7CE-4D10-969C-92566F58B1ED}"/>
    <hyperlink ref="L44:M44" r:id="rId15" display="https://www.nrc.gov/info-finder/fc/iifp-lea-co-nm-lc" xr:uid="{058D0A24-FEF2-4F91-AB60-00338F556216}"/>
    <hyperlink ref="H52" r:id="rId16" xr:uid="{93E7CB71-F9A3-44AD-AD43-ECEBA855877D}"/>
    <hyperlink ref="K52" r:id="rId17" display="https://www.srs.gov/general/news/factsheets/srs_h_canyon.pdf" xr:uid="{DB528AD5-58EE-4CC6-A4E5-B8E188A20E23}"/>
    <hyperlink ref="H51" r:id="rId18" xr:uid="{3AC0CF9A-7C52-4331-A549-73D4D3908F71}"/>
    <hyperlink ref="L56:M56" r:id="rId19" display="https://cumulis.epa.gov/supercpad/cursites/csitinfo.cfm?id=0504935" xr:uid="{BD27BA6C-46B0-4561-956B-0897B2BB3296}"/>
    <hyperlink ref="J57:K57" r:id="rId20" display="https://www.energy.gov/sites/default/files/2024-04/Brief History of the West Valley Site_Paul Bembia 508.pdf" xr:uid="{FE748526-EABE-4EB4-9DFC-7E9BD98FBAC2}"/>
    <hyperlink ref="G21" r:id="rId21" display="Under Construction" xr:uid="{F25226C5-1336-407E-A96C-84F4A7B59C88}"/>
    <hyperlink ref="L60:M60" r:id="rId22" display="https://www.osti.gov/servlets/purl/10119132" xr:uid="{A5C19CF8-E793-44F8-8AC7-8FD11F755035}"/>
    <hyperlink ref="G60" r:id="rId23" xr:uid="{5510CCA3-BA8B-43E8-8230-42207F7654BB}"/>
    <hyperlink ref="G61" r:id="rId24" xr:uid="{9C7A7FF8-391A-4A7C-B7DB-A8DEC6F5991B}"/>
    <hyperlink ref="G62" r:id="rId25" location=":~:text=Global%20Laser%20Enrichment%2C%20LLC%20(GLE,%2C%20LLC%2C%20(GEH)." display="Terminated" xr:uid="{E5888BD9-9183-46FA-8AD0-A061949E5A0A}"/>
    <hyperlink ref="L61:M61" r:id="rId26" display="https://www.energy.gov/sites/default/files/EIS-0471-FEIS-2011.pdf" xr:uid="{4312A3B3-91CF-4AFB-8370-1B170AEA0940}"/>
    <hyperlink ref="G58" r:id="rId27" xr:uid="{D5D4834C-B75E-4213-903F-9D8B968E7E04}"/>
    <hyperlink ref="L73:M73" r:id="rId28" display="https://www.nrc.gov/info-finder/decommissioning/uranium/bear-creek.html" xr:uid="{8A54D1FB-037F-4427-A279-5A09EB7125CC}"/>
    <hyperlink ref="L74:M74" r:id="rId29" display="https://lmpublicsearch.lm.doe.gov/lmsites/4355-s11381_bar.pdf" xr:uid="{40AE199D-97D5-43E8-9E2C-62C56727681E}"/>
    <hyperlink ref="J74" r:id="rId30" display="1957" xr:uid="{7E0D6467-FC18-4ACE-9540-FBCC234C7271}"/>
    <hyperlink ref="L122:M122" r:id="rId31" display="https://thediggings.com/mines/usgs10021587" xr:uid="{5A8981DE-B700-46FC-96C3-F7E7E0035D6D}"/>
    <hyperlink ref="L123:M123" r:id="rId32" display="https://www.theupa.org/uranium_technology/reclamation_and_restoration/us_clay_west_burns/" xr:uid="{38FA0089-D645-451E-BDC9-CE3933824F1E}"/>
    <hyperlink ref="L125:M125" r:id="rId33" display="https://www.theupa.org/uranium_technology/reclamation_and_restoration/us_clay_west_burns/" xr:uid="{42DA377D-77AC-442F-9014-53D097B7AC33}"/>
    <hyperlink ref="G126" r:id="rId34" xr:uid="{21CBF5B6-FD55-4036-8C97-1F73755E9B5A}"/>
    <hyperlink ref="L77:M77" r:id="rId35" display="https://www.nrc.gov/info-finder/decommissioning/uranium/united-nuclear-corporation" xr:uid="{88A4EC95-B05B-4CE4-8B2F-E9A0846846C6}"/>
    <hyperlink ref="L114:M114" r:id="rId36" display="https://www.epa.gov/sites/default/files/2015-05/documents/subpart-w-risk.pdf" xr:uid="{1127B82F-3B83-4D1B-B716-FC6CD87B82C0}"/>
    <hyperlink ref="K75" r:id="rId37" display="https://www.nrc.gov/info-finder/decommissioning/uranium/cotter-uranium-mill" xr:uid="{9782619D-E7F6-4923-B363-0DB886F5071C}"/>
    <hyperlink ref="E122" r:id="rId38" xr:uid="{803C44D7-B04B-499E-AA14-10B01E9F4CCB}"/>
    <hyperlink ref="E118" r:id="rId39" display="Uranium Ore Processing (ISR)" xr:uid="{A4527833-FC13-4124-BDC1-48C55FF2CF80}"/>
    <hyperlink ref="E145" r:id="rId40" display="Uranium Ore Processing" xr:uid="{89BC2B4D-0159-427F-A6FC-C6D9650A4B6C}"/>
    <hyperlink ref="E131" r:id="rId41" xr:uid="{733A6D87-E79E-4A5D-B355-E9F30C6F5E40}"/>
    <hyperlink ref="E125" r:id="rId42" xr:uid="{61985AE1-7278-49E5-85A7-5D85B813C9DF}"/>
    <hyperlink ref="E123" r:id="rId43" xr:uid="{08B7C2C6-3969-421D-B594-9A020561F819}"/>
    <hyperlink ref="J81" r:id="rId44" display="https://www.energy.gov/lm/articles/falls-city-texas-disposal-site-fact-sheet" xr:uid="{97FF7136-5970-4825-A842-4826CBAD6379}"/>
    <hyperlink ref="L83:M83" r:id="rId45" display="https://www.nrc.gov/info-finder/decommissioning/uranium/american-nuclear-corporation" xr:uid="{F1172AFF-7582-43F7-9565-EF00534300EA}"/>
    <hyperlink ref="L84:M84" r:id="rId46" display="https://www.nrc.gov/info-finder/decommissioning/uranium/umetco-minerals-corporation" xr:uid="{3AB73FA2-8B5D-421D-A0A6-89CB0122A9DA}"/>
    <hyperlink ref="E116" r:id="rId47" display="Uranium Ore Processing (ISR Group)" xr:uid="{035A845D-DD27-46BE-B38B-4C720BFE9228}"/>
    <hyperlink ref="L116:M116" r:id="rId48" display="https://www.uraniumenergy.com/_resources/reports/goliad_ni43-101.pdf?utm" xr:uid="{58A40E1A-3209-4CC4-94F3-80FA393A208D}"/>
    <hyperlink ref="L81:M81" r:id="rId49" display="https://gems.lm.doe.gov/" xr:uid="{1BA9ED4E-8FD6-468E-B1E6-E24C699BAFB0}"/>
    <hyperlink ref="E105:G105" r:id="rId50" display="Uranium Ore Processing (Conv)" xr:uid="{316F0BEF-4163-4F18-8D1D-B84340A2C388}"/>
    <hyperlink ref="E108" r:id="rId51" xr:uid="{92D062DC-3E1F-4B63-8D1B-8B7942F840A3}"/>
    <hyperlink ref="E113" r:id="rId52" display="Uranium Ore Processing" xr:uid="{965DB865-274E-4035-817E-B9B2701C316F}"/>
    <hyperlink ref="L86:M86" r:id="rId53" display="https://www.nrc.gov/cdn/legacy/info-finder/decommissioning/uranium/is-homestake.pdf" xr:uid="{53450570-7488-4974-9507-61FEBEFDC1B1}"/>
    <hyperlink ref="L87:M87" r:id="rId54" location="site=GRN" display="https://gems.lm.doe.gov/ - site=GRN" xr:uid="{FDE96ABE-AE34-47B9-B89E-FD41D4689B54}"/>
    <hyperlink ref="J128:K128" r:id="rId55" display="https://www.nrc.gov/docs/ML2012/ML20127A015.pdf" xr:uid="{851E93D8-3FFF-4154-B50F-709AF152F976}"/>
    <hyperlink ref="L128:M128" r:id="rId56" display="https://minedocs.com/20/AltaMesa_Technical_Report_07282016.pdf" xr:uid="{E8BFBD93-48D1-431D-913D-50CA621E4CDD}"/>
    <hyperlink ref="J128" r:id="rId57" display="https://www.nrc.gov/docs/ML2012/ML20127A015.pdf" xr:uid="{13DE1A5B-BCA2-4E29-99BF-00AD277C31BD}"/>
    <hyperlink ref="G128" r:id="rId58" xr:uid="{FCE17587-161B-4E1D-A6FE-E30135D996CD}"/>
    <hyperlink ref="L88:M88" r:id="rId59" display="https://www.nrc.gov/info-finder/decommissioning/uranium/exxonmobil-highlands" xr:uid="{DE486070-6C54-4C09-A4DE-F90AA387E447}"/>
    <hyperlink ref="G142" r:id="rId60" xr:uid="{995DF5F8-E1A9-4271-82A0-688E0F9CB7B3}"/>
    <hyperlink ref="G117" r:id="rId61" xr:uid="{B16177F6-3C3D-4F46-A269-1C18CD19E9F2}"/>
    <hyperlink ref="L129:M129" r:id="rId62" display="https://www.theupa.org/_resources/images/reclaimation/Reclaimed_Sites-8.jpg" xr:uid="{0711110F-744E-4A0F-B847-4DA2C5951663}"/>
    <hyperlink ref="G114" r:id="rId63" xr:uid="{2408CD69-C4DF-4257-AC9D-831DBAD79B0E}"/>
    <hyperlink ref="L130:M130" r:id="rId64" display="https://brsengineering.com/wp-content/uploads/2013/09/JAB-43-101-March-14-2008.pdf" xr:uid="{6A0175F9-3441-4142-8271-309B2E8F5295}"/>
    <hyperlink ref="L131:M131" r:id="rId65" display="https://www.epa.gov/sites/default/files/2015-05/documents/subpart-w-risk.pdf" xr:uid="{E9B4F771-0D7B-436A-9928-64367DEEADB0}"/>
    <hyperlink ref="E139" r:id="rId66" xr:uid="{937736DE-0F47-4EAE-9C9D-6AF5EED41D79}"/>
    <hyperlink ref="L118:M118" r:id="rId67" display="https://www.nrc.gov/docs/ML2406/ML24060A141.pdf" xr:uid="{AF231F0A-A040-40DA-BC3B-2F16A63956D7}"/>
    <hyperlink ref="L139:M139" r:id="rId68" display="https://www.mindat.org/loc-171368.html" xr:uid="{8514A68E-4767-47DA-834A-63EBF9FB274F}"/>
    <hyperlink ref="D132" r:id="rId69" xr:uid="{DEFA0E14-A8B7-4D9D-8CBB-59FDACA6C8B6}"/>
    <hyperlink ref="L132:M132" r:id="rId70" display="https://www.mindat.org/loc-42252.html" xr:uid="{899EFA21-ED16-4C08-95CA-2C209FC77624}"/>
    <hyperlink ref="G131" r:id="rId71" xr:uid="{4256C379-6120-4DCA-BF57-CCE57309388D}"/>
    <hyperlink ref="L134:M134" r:id="rId72" display="https://thediggings.com/mines/usgs10021594" xr:uid="{F6ECD1E9-03E2-4736-B9DC-BDE4CD4CA2E8}"/>
    <hyperlink ref="E134" r:id="rId73" xr:uid="{5139E344-6F2A-424D-A024-B30C2266D7AD}"/>
    <hyperlink ref="L90:M90" r:id="rId74" display="https://gems.lm.doe.gov/" xr:uid="{FCF47EB1-389B-4C64-BC91-1E90E5F07B35}"/>
    <hyperlink ref="D91" r:id="rId75" xr:uid="{A1249A43-F5FA-41FC-9F8E-AE9C8212A6F9}"/>
    <hyperlink ref="D90" r:id="rId76" xr:uid="{227CEE62-C6A9-49D6-A6F9-24B142CA33AB}"/>
    <hyperlink ref="L91:M91" r:id="rId77" display="https://maps.app.goo.gl/VjvQax61NEYzj5qF8" xr:uid="{885D8AA7-7C69-4BCC-B08E-B5829DEB25C7}"/>
    <hyperlink ref="L135:M135" r:id="rId78" display="https://d1io3yog0oux5.cloudfront.net/_c8f370752be33839cc5bd353348edcfa/urenergy/db/697/5519/file/20231231+Lost+Creek+TRS+v3+%283.1%29_REDUCED+SIZE.pdf" xr:uid="{4AFADEE8-708B-4AE9-B02A-2F00A14CD2E7}"/>
    <hyperlink ref="L92:M92" r:id="rId79" display="https://www.nrc.gov/info-finder/decommissioning/uranium/pathfinder-lucky-mc" xr:uid="{DAE1FF7E-ACE6-48FA-9B61-C36AA9B92CCB}"/>
    <hyperlink ref="L69:M69" r:id="rId80" display="https://encoreuranium.com/projects/juan-tafoya-marquez/" xr:uid="{0D4F3E97-1D49-4656-88BB-85FAFCC2C781}"/>
    <hyperlink ref="L136:M136" r:id="rId81" display="https://downloads.regulations.gov/EPA-HQ-OAR-2012-0788-0225/attachment_103.pdf?utm" xr:uid="{4947811A-3C6D-4CB9-A8A1-56F2F037A01F}"/>
    <hyperlink ref="C78" r:id="rId82" xr:uid="{60E8BD22-895C-4027-AA42-CE959CB3F3E2}"/>
    <hyperlink ref="L78:M78" r:id="rId83" display="https://www.nrc.gov/info-finder/decommissioning/uranium/dawn-mining-company" xr:uid="{CDC38BA1-6D17-4758-89EC-2D6D10C4B656}"/>
    <hyperlink ref="L112:M112" r:id="rId84" display="https://www.energy.gov/lm/articles/sherwood-washington-disposal-site-fact-sheet" xr:uid="{DA8A2CC0-3B62-4DC5-A1AC-41923B13A587}"/>
    <hyperlink ref="C31" r:id="rId85" xr:uid="{6C00FE82-5B29-4F24-9432-8611FD8740AA}"/>
    <hyperlink ref="H31" r:id="rId86" xr:uid="{AB076546-6B1F-486F-8F66-3E95EE535019}"/>
    <hyperlink ref="L96:M96" r:id="rId87" display="https://www.energy.gov/em/moab/overview-moab-umtra-project" xr:uid="{9E8DD1E5-59F4-4573-8A55-BF0C0CF54E6A}"/>
    <hyperlink ref="E119" r:id="rId88" xr:uid="{BDF52D89-534C-441C-8847-FB1FBD6DE0C9}"/>
    <hyperlink ref="L119:M119" r:id="rId89" display="https://minedocs.com/20/AltaMesa_Technical_Report_07282016.pdf" xr:uid="{C5E54664-145A-4AA5-8124-2C0BEAAB9D91}"/>
    <hyperlink ref="L137:M137" r:id="rId90" display="https://minedocs.com/20/AltaMesa_Technical_Report_07282016.pdf" xr:uid="{A785AE0B-8BD8-4BD0-984C-FB65BFC7ADA3}"/>
    <hyperlink ref="G138" r:id="rId91" xr:uid="{584CA56F-D768-4A7E-818C-C84C8969AAE2}"/>
    <hyperlink ref="L98:M98" r:id="rId92" display="https://www.nrc.gov/info-finder/decommissioning/uranium/rio-grande-resources-corp" xr:uid="{E99B9152-8523-4B4A-BF3E-7CAB79CBA12A}"/>
    <hyperlink ref="G99" r:id="rId93" display="Under Construction" xr:uid="{384BF06C-C822-4991-8E5F-71C8FDB3DE86}"/>
    <hyperlink ref="L99:M99" r:id="rId94" display="https://www.epa.gov/sites/default/files/2015-05/documents/applicationforapprovalofconstructionful082610.pdf" xr:uid="{6B2BD367-0D58-4E1A-A18D-70B4B39B6531}"/>
    <hyperlink ref="D71" r:id="rId95" display="Solvay" xr:uid="{E02A33A6-FE0E-414C-B76E-970715435104}"/>
    <hyperlink ref="L71:M71" r:id="rId96" display="https://cumulis.epa.gov/supercpad/CurSites/csitinfo.cfm?id=0603552" xr:uid="{73AF06B7-4536-40DA-A71D-634146086784}"/>
    <hyperlink ref="J71" r:id="rId97" display="https://www.nrc.gov/info-finder/decommissioning/complex/solvay-usa-inc" xr:uid="{A468916B-7764-4C67-9954-B7DC73C1C1FD}"/>
    <hyperlink ref="G140" r:id="rId98" xr:uid="{645F9AD3-A993-4CD5-B8A5-B8A65EF78112}"/>
    <hyperlink ref="L140:M140" r:id="rId99" display="https://www.sec.gov/Archives/edgar/data/1500881/000119312525037583/d893278dex961.htm?utm" xr:uid="{E06602D3-C5D8-4D59-9716-F2893CED1566}"/>
    <hyperlink ref="L103:M103" r:id="rId100" display="https://www.nrc.gov/info-finder/decommissioning/uranium/pathfinder-shirley-basin" xr:uid="{2AC514DF-4125-48A0-A4D5-4596DCC0580D}"/>
    <hyperlink ref="D104" r:id="rId101" xr:uid="{4850911A-EAF9-4157-8A5A-D4205264CEB7}"/>
    <hyperlink ref="L104:M104" r:id="rId102" display="https://response.epa.gov/site/site_profile.aspx?site_id=14706" xr:uid="{B72A6443-FF62-4122-858D-3784A8807BE4}"/>
    <hyperlink ref="L108:M108" r:id="rId103" display="https://www.epa.gov/sites/default/files/2015-05/documents/subpart-w-risk.pdf" xr:uid="{AFE4F3BE-04FA-4BBA-81CB-E634B5CF941A}"/>
    <hyperlink ref="L143:M143" r:id="rId104" display="https://minedocs.com/20/AltaMesa_Technical_Report_07282016.pdf" xr:uid="{FA056002-DEBA-4176-99F0-591A07992193}"/>
    <hyperlink ref="D143" r:id="rId105" xr:uid="{5815E318-A334-46B8-B68B-5DC5D837A3A5}"/>
    <hyperlink ref="L111:M111" r:id="rId106" display="https://www.nrc.gov/info-finder/decommissioning/uranium/umetco-uravan" xr:uid="{FE78A92F-7E6D-4C0E-8214-2167B70A67F5}"/>
    <hyperlink ref="L144:M144" r:id="rId107" display="https://www.epa.gov/sites/default/files/2015-05/documents/subpart-w-risk.pdf" xr:uid="{9A7A12F3-1D98-4560-A2E4-74942707EB7A}"/>
    <hyperlink ref="K144" r:id="rId108" display="https://encoreuranium.com/wp-content/uploads/2021/11/Q3-2021-Management-Discussion-and-Analysis.pdf" xr:uid="{26FD0523-4D2B-4F14-B031-D8EF9988629C}"/>
    <hyperlink ref="L145:M145" r:id="rId109" display="https://www.epa.gov/sites/default/files/2015-05/documents/cogema-mining-inc.pdf" xr:uid="{9F4634B7-BE12-45CE-9D49-501A11225AFC}"/>
    <hyperlink ref="L146:M146" r:id="rId110" display="https://www.nrc.gov/docs/ML2319/ML23191A045.pdf" xr:uid="{F2346203-DCF3-49E7-8440-E9983C67CB57}"/>
    <hyperlink ref="L124:M124" r:id="rId111" display="https://www.nrc.gov/info-finder/decommissioning/uranium/united-nuclear-corporation" xr:uid="{8C9F3315-E59F-4DE1-B569-3907DA3681DC}"/>
    <hyperlink ref="L82:M82" r:id="rId112" display="https://lmpublicsearch.lm.doe.gov/lmsites/2495-ufct00000039.pdf" xr:uid="{FABD367A-17A2-4C2F-99C7-2D3020B5B75B}"/>
    <hyperlink ref="K82" r:id="rId113" display="https://sites.utexas.edu/zornberg/files/2022/03/Sheridan_Zornberg_Gilbert_2012.pdf" xr:uid="{E87D6B8D-9019-413D-BC0F-BCE5477CB499}"/>
    <hyperlink ref="L109:M109" r:id="rId114" display="https://www.nrc.gov/docs/ML0620/ML062060345.pdf" xr:uid="{79FB55CC-DB4F-4308-B102-387DD759AE0C}"/>
    <hyperlink ref="J109:K109" r:id="rId115" display="https://www.nrc.gov/docs/ML2505/ML25057A062.pdf" xr:uid="{C25E041B-A66C-4D1A-AB0D-C0D5760D2B8A}"/>
    <hyperlink ref="L120:M120" r:id="rId116" display="https://www.nrc.gov/docs/ml1633/ML16337A048.pdf" xr:uid="{5939C406-BE84-401C-BAEE-176512A9290F}"/>
    <hyperlink ref="J147:M147" r:id="rId117" display="https://www.western-uranium.com/projects/hansen-taylor-ranch/" xr:uid="{99F3732A-6B32-4F0B-A18B-71F89588EA93}"/>
    <hyperlink ref="J141" r:id="rId118" display="https://stratawyo.com/projects/ross-isr-project" xr:uid="{D810DEBF-5106-4099-BA19-F8ABA8A0F1EC}"/>
    <hyperlink ref="L141:M141" r:id="rId119" display="https://www.nrc.gov/docs/ML1405/ML14056A096.pdf" xr:uid="{0C3E808B-9B7F-47ED-8D2B-F5A8F2B26C6A}"/>
    <hyperlink ref="L85:M85" r:id="rId120" display="https://www.energy.gov/sites/default/files/2022-09/GrandJunctionDandPFactSheet.pdf" xr:uid="{58ACB069-F433-4C89-AB35-C432148D266A}"/>
    <hyperlink ref="L89:M89" r:id="rId121" display="https://www.energy.gov/lm/articles/lakeview-oregon-disposalprocessing-sites-fact-sheet" xr:uid="{2583FFA2-62F3-49F1-B338-A5B3D1315C93}"/>
    <hyperlink ref="L93:M93" r:id="rId122" display="https://www.energy.gov/lm/articles/maybell-colorado-disposal-site-fact-sheet" xr:uid="{3F3F8C08-24FD-4F45-92B8-F4A48A01626B}"/>
    <hyperlink ref="J79:M79" r:id="rId123" display="https://www.nrc.gov/info-finder/decommissioning/uranium/hecla-mining-company" xr:uid="{31196776-8974-4F29-B996-7386BAF5792A}"/>
    <hyperlink ref="J100:M100" r:id="rId124" display="https://www.energy.gov/lm/articles/rifle-colorado-disposal-site-and-processing-sites-fact-sheet" xr:uid="{9E80BE4E-F8D8-4565-B7E1-266D6024A680}"/>
    <hyperlink ref="L101:M101" r:id="rId125" display="https://www.energy.gov/lm/articles/riverton-wyoming-processing-site-fact-sheet" xr:uid="{ED6E335B-6D73-4946-90AF-A81C81A47BB5}"/>
    <hyperlink ref="D101" r:id="rId126" xr:uid="{9048BB8C-FE90-4331-85F4-A61B83C4071D}"/>
    <hyperlink ref="L68:M68" r:id="rId127" display="‎40.687344" xr:uid="{4C91EEC0-AAA7-4B29-A456-C0ABC9C74608}"/>
    <hyperlink ref="L102:M102" r:id="rId128" display="https://www.energy.gov/lm/articles/shiprock-new-mexico-disposal-site-fact-sheet" xr:uid="{EE3DBFBE-B1E1-41AE-A4CB-DB1630922416}"/>
    <hyperlink ref="L107:M107" r:id="rId129" display="‎42.507868" xr:uid="{5BB1FDEB-BEA4-4A1E-A1D0-480A938DE5C1}"/>
    <hyperlink ref="L106:M106" r:id="rId130" display="https://www.energy.gov/lm/articles/slick-rock-colorado-disposal-and-processing-sites-fact-sheet" xr:uid="{0FBF70BC-CBEC-4FDE-87C9-DA1FBD474C51}"/>
    <hyperlink ref="L148:M148" r:id="rId131" display="‎43.238845" xr:uid="{5CB24F6B-0FFD-47BD-BC16-3301D8174B1C}"/>
    <hyperlink ref="L110:M110" r:id="rId132" display="‎36.145477" xr:uid="{5C05C513-8056-416D-8DB8-41FD6C390A18}"/>
    <hyperlink ref="L80:M80" r:id="rId133" display="‎43.273532" xr:uid="{A8CF108F-0872-409C-BD86-623220F2235A}"/>
    <hyperlink ref="L94:M94" r:id="rId134" display="‎40.543853" xr:uid="{C9BAC869-283A-4775-A77E-344A379176CC}"/>
    <hyperlink ref="L127:M127" r:id="rId135" display="https://encoreuranium.com/wp-content/uploads/2025/03/Dewey-Burdock-2024-S-K-1300-Technical-Report-Summary_ROpt.pdf" xr:uid="{55A69C26-6717-4089-9794-E31B69DAF738}"/>
    <hyperlink ref="L133:M133" r:id="rId136" display="https://maps.app.goo.gl/VJMXzrwbFsrZ146V6" xr:uid="{0D9BEA03-DA42-44F5-9001-EFA24FE3BBC7}"/>
    <hyperlink ref="G133" r:id="rId137" xr:uid="{E7E19694-5E19-4C5B-8B75-EC4CE526C93E}"/>
    <hyperlink ref="J133" r:id="rId138" display="https://wcsecure.weblink.com.au/pdf/PEN/02907862.pdf" xr:uid="{70FAF313-253E-49FE-935D-2044E1ADF49C}"/>
  </hyperlinks>
  <pageMargins left="0.75" right="0.75" top="1" bottom="1" header="0.5" footer="0.5"/>
  <legacyDrawing r:id="rId139"/>
  <tableParts count="1">
    <tablePart r:id="rId140"/>
  </tablePart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IAEA Facility List Marked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Fisher, Riley</cp:lastModifiedBy>
  <dcterms:modified xsi:type="dcterms:W3CDTF">2026-01-27T20:46:47Z</dcterms:modified>
  <cp:category/>
</cp:coreProperties>
</file>